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xl/python.xml" ContentType="application/vnd.ms-excel.pytho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11"/>
  <workbookPr/>
  <mc:AlternateContent xmlns:mc="http://schemas.openxmlformats.org/markup-compatibility/2006">
    <mc:Choice Requires="x15">
      <x15ac:absPath xmlns:x15ac="http://schemas.microsoft.com/office/spreadsheetml/2010/11/ac" url="C:\Users\qinzen\Downloads\"/>
    </mc:Choice>
  </mc:AlternateContent>
  <xr:revisionPtr revIDLastSave="0" documentId="8_{F74A47E1-E901-4887-B36E-63BEB5239E45}" xr6:coauthVersionLast="47" xr6:coauthVersionMax="47" xr10:uidLastSave="{00000000-0000-0000-0000-000000000000}"/>
  <bookViews>
    <workbookView xWindow="0" yWindow="0" windowWidth="28800" windowHeight="13905" firstSheet="1" activeTab="1" xr2:uid="{00000000-000D-0000-FFFF-FFFF00000000}"/>
  </bookViews>
  <sheets>
    <sheet name="Sheet1" sheetId="1" r:id="rId1"/>
    <sheet name="Lis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a="1"/>
  <c r="A1" i="2"/>
  <c r="A3" i="2" a="1"/>
  <c r="A3" i="2" s="1"/>
  <c r="A6" i="2" s="1" a="1"/>
  <c r="A6" i="2" s="1"/>
  <c r="A8" i="2" s="1" a="1"/>
  <c r="A8" i="2" s="1"/>
  <c r="B8" i="2" l="1" a="1"/>
  <c r="B8" i="2" s="1"/>
  <c r="A10" i="2" a="1"/>
  <c r="A10" i="2" s="1"/>
  <c r="A12" i="2" s="1" a="1"/>
  <c r="A12" i="2" s="1"/>
  <c r="B6" i="2" a="1"/>
  <c r="B6"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
    <bk>
      <extLst>
        <ext uri="{3e2802c4-a4d2-4d8b-9148-e3be6c30e623}">
          <xlrd:rvb i="1"/>
        </ext>
      </extLst>
    </bk>
    <bk>
      <extLst>
        <ext uri="{3e2802c4-a4d2-4d8b-9148-e3be6c30e623}">
          <xlrd:rvb i="4"/>
        </ext>
      </extLst>
    </bk>
    <bk>
      <extLst>
        <ext uri="{3e2802c4-a4d2-4d8b-9148-e3be6c30e623}">
          <xlrd:rvb i="8"/>
        </ext>
      </extLst>
    </bk>
    <bk>
      <extLst>
        <ext uri="{3e2802c4-a4d2-4d8b-9148-e3be6c30e623}">
          <xlrd:rvb i="9"/>
        </ext>
      </extLst>
    </bk>
    <bk>
      <extLst>
        <ext uri="{3e2802c4-a4d2-4d8b-9148-e3be6c30e623}">
          <xlrd:rvb i="13"/>
        </ext>
      </extLst>
    </bk>
    <bk>
      <extLst>
        <ext uri="{3e2802c4-a4d2-4d8b-9148-e3be6c30e623}">
          <xlrd:rvb i="14"/>
        </ext>
      </extLst>
    </bk>
    <bk>
      <extLst>
        <ext uri="{3e2802c4-a4d2-4d8b-9148-e3be6c30e623}">
          <xlrd:rvb i="17"/>
        </ext>
      </extLst>
    </bk>
    <bk>
      <extLst>
        <ext uri="{3e2802c4-a4d2-4d8b-9148-e3be6c30e623}">
          <xlrd:rvb i="20"/>
        </ext>
      </extLst>
    </bk>
  </futureMetadata>
  <cellMetadata count="1">
    <bk>
      <rc t="1" v="0"/>
    </bk>
  </cellMetadata>
  <valueMetadata count="8">
    <bk>
      <rc t="2" v="0"/>
    </bk>
    <bk>
      <rc t="2" v="1"/>
    </bk>
    <bk>
      <rc t="2" v="2"/>
    </bk>
    <bk>
      <rc t="2" v="3"/>
    </bk>
    <bk>
      <rc t="2" v="4"/>
    </bk>
    <bk>
      <rc t="2" v="5"/>
    </bk>
    <bk>
      <rc t="2" v="6"/>
    </bk>
    <bk>
      <rc t="2" v="7"/>
    </bk>
  </valueMetadata>
</metadata>
</file>

<file path=xl/python.xml><?xml version="1.0" encoding="utf-8"?>
<python xmlns="http://schemas.microsoft.com/office/spreadsheetml/2023/python">
  <environmentDefinition id="{00000000-0000-0000-0000-000000000000}">
    <initialization>
      <code/>
    </initialization>
  </environmentDefinition>
  <pythonScripts>
    <pythonScript>
      <code>import matplotlib.pyplot as plt
import numpy as np
import matplotlib.cm as cm
import pandas as pd
import seaborn as sns
from collections import Counter
import textwrap</code>
    </pythonScript>
    <pythonScript>
      <code>extraversion_answer= xl(%P2%).values.flatten()
question_6  = xl(%P3%).values.flatten()
question_7  = xl(%P4%).values.flatten()
question_8  = xl(%P5%).values.flatten()
question_9  = xl(%P6%).values.flatten()
question_10 = xl(%P7%).values.flatten()
question_11 = xl(%P8%).values.flatten()
question_12 = xl(%P9%).values.flatten()
question_13 = xl(%P10%).values.flatten()
question_14 = xl(%P11%).values.flatten()
question_15 = xl(%P12%).values.flatten()
question_16 = xl(%P13%).values.flatten()
question_17 = xl(%P14%).values.flatten()
question_18 = xl(%P15%).values.flatten()
question_19 = xl(%P16%).values.flatten()
question_20 = xl(%P17%).values.flatten()
question_21 = xl(%P18%).values.flatten()
question_22 = xl(%P19%).values.flatten()
question_23 = xl(%P20%).values.flatten()
question_24 = xl(%P21%).values.flatten()
question_26 = xl(%P22%).values.flatten()
question_27 = xl(%P23%).values.flatten()
question_28 = xl(%P24%).values.flatten()
question_29 = xl(%P25%).values.flatten()
question_30 = xl(%P26%).values.flatten()</code>
    </pythonScript>
    <pythonScript>
      <code xml:space="preserve">intr = 0
extr = 0
komb = 0
count_answer = len(extraversion_answer)
for v in extraversion_answer:
    if v == "Introvert":
        intr +=1
    elif v == "Extrovert":
        extr +=1
    elif v == "Kombinace obojího":
        komb +=1
intr_round = round((intr*100)/count_answer,ndigits=2)
extr_round = round((extr*100)/count_answer,ndigits=2)
komb_round = round((komb*100)/count_answer,ndigits=2)
labels = ['Introvert', 'Extrovert', 'Kombinace obojího']
sizes = [intr_round, extr_round, komb_round]
fig, ax = plt.subplots()
colors = cm.tab20.colors[14:19]
ax.pie(sizes,labels=labels,autopct='%%1.2f%%%%', shadow=True,colors=colors)
ax.set(aspect="equal", title='Hypoteza 1')
plt.show()
</code>
    </pythonScript>
    <pythonScript>
      <code xml:space="preserve">import matplotlib.pyplot as plt
from collections import Counter
introvert_index = [i for i, v in enumerate(extraversion_answer) if v == "Introvert"]
introvert_question_numbers = [6, 7, 10, 13, 14, 17, 18, 21]
introvert_question = [question_6, question_7, question_10, question_13,
                      question_14, question_17, question_18, question_21]
multi_choice_numbers = [19]
multi_choice_lists = [question_19]
top_multi_answers = []
top_multi_counts = []
for q in multi_choice_lists:
    intro_answers = [q[i] for i in introvert_index if q[i]]
    split_answers = []
    for ans in intro_answers:
        split_answers.extend([a.strip() for a in ans.split(';')])
    top = Counter(split_answers).most_common(1)[0]
    top_multi_answers.append(top[0])
    top_multi_counts.append(top[1])
top_introvert_answer = []
top_counts = []
for q in introvert_question:
    intro_answer = [q[i] for i in introvert_index]
    top = Counter(intro_answer).most_common(1)[0]
    top_introvert_answer.append(top[0])
    top_counts.append(top[1])
all_numbers = introvert_question_numbers + multi_choice_numbers
all_counts = top_counts + top_multi_counts
all_answers = top_introvert_answer + top_multi_answers
fig, ax = plt.subplots(figsize=(12, 10))
ax.bar([f"Q{n}" for n in all_numbers], all_counts, color=cm.tab20.colors[3:4])
for i, txt in enumerate(all_answers):
    wrapped = "\n".join(textwrap.wrap(txt, 20)) 
    ax.text(i, all_counts[i] + 0.1, wrapped, ha='center', va='bottom', fontsize=8)
ax.set_ylabel('Počet odpovědí')
ax.set_title('Nejčastější odpovědi introvertů na vybrané otázky')
plt.show()
</code>
    </pythonScript>
    <pythonScript>
      <code>extravert_index = [i for i, v in enumerate(extraversion_answer) if v == "Extrovert"]</code>
    </pythonScript>
    <pythonScript>
      <code>kombi_index = [i for i, v in enumerate(extraversion_answer) if v == "Kombinace obojího"]</code>
    </pythonScript>
  </pythonScripts>
</python>
</file>

<file path=xl/sharedStrings.xml><?xml version="1.0" encoding="utf-8"?>
<sst xmlns="http://schemas.openxmlformats.org/spreadsheetml/2006/main" count="1735" uniqueCount="396">
  <si>
    <t>Id</t>
  </si>
  <si>
    <t>Počáteční čas</t>
  </si>
  <si>
    <t>Čas dokončení</t>
  </si>
  <si>
    <t>E-mail</t>
  </si>
  <si>
    <t>Jméno</t>
  </si>
  <si>
    <t>Language</t>
  </si>
  <si>
    <t>Jaká je Vaše pracovní pozice?</t>
  </si>
  <si>
    <t>Jaká je Vaše úroveň pracovních zkušeností?</t>
  </si>
  <si>
    <t>Jaký je typ Vašeho zaměstnání?</t>
  </si>
  <si>
    <t>Jaká je velikost firmy, ve které pracujete?</t>
  </si>
  <si>
    <t> Kde se nachází hlavní sídlo Vaší firmy?</t>
  </si>
  <si>
    <t>Jak často pracujete na dálku?</t>
  </si>
  <si>
    <t>Jak hodnotíte svou produktivitu při práci na dálku ve srovnání s prací v kanceláři?</t>
  </si>
  <si>
    <t>Co vás nejvíce podporuje v udržení produktivity při práci na dálku?</t>
  </si>
  <si>
    <t>Jaké překážky nejvíce ovlivňují Vaši produktivitu při práci na dálku?</t>
  </si>
  <si>
    <t>Jak hodnotíte efektivitu komunikace s kolegy při práci na dálku?</t>
  </si>
  <si>
    <t>Jaké nástroje nejčastěji používáte pro komunikaci při práci na dálku? (vyberte všechny relevantní odpovědi)</t>
  </si>
  <si>
    <t>Jaký je podle Vás hlavní problém při komunikaci na dálku?</t>
  </si>
  <si>
    <t> Jak často pracujete v kanceláři?</t>
  </si>
  <si>
    <t>Jak hodnotíte svou produktivitu při práci v kanceláři?</t>
  </si>
  <si>
    <t> Jaké faktory Vám v kanceláři nejvíce pomáhají být produktivní?</t>
  </si>
  <si>
    <t xml:space="preserve">Jaké překážky nejvíce ovlivňují Vaši produktivitu při práci v kanceláři?
</t>
  </si>
  <si>
    <t xml:space="preserve">Jak hodnotíte efektivitu komunikace s kolegy v kanceláři?
</t>
  </si>
  <si>
    <t>Ve kterém prostředí cítíte větší motivaci k práci?</t>
  </si>
  <si>
    <t>Jaké faktory Vás nejvíce motivují při práci v obou prostředích?</t>
  </si>
  <si>
    <t>Jaké faktory Vás nejvíce motivují při práci v kanceláři?</t>
  </si>
  <si>
    <t>Jak hodnotíte rovnováhu mezi pracovním a osobním životem v obou prostředích?</t>
  </si>
  <si>
    <t>Jak hodnotíte rovnováhu mezi pracovním a osobním životem při práci v kanceláři?</t>
  </si>
  <si>
    <t xml:space="preserve">Máte při práci na dálku nebo v kanceláři větší stres?
</t>
  </si>
  <si>
    <t>Jak byste hodnotili celkový vliv obou prostředí na kvalitu Vašeho pracovního života?</t>
  </si>
  <si>
    <t>Považujete se spíše za introverta nebo extroverta?</t>
  </si>
  <si>
    <t>Jak byste popsali svůj přístup k ostatním lidem?</t>
  </si>
  <si>
    <t>Jak byste hodnotili svůj přístup k povinnostem a organizaci práce?</t>
  </si>
  <si>
    <t>Jak obvykle reagujete na stresové situace?</t>
  </si>
  <si>
    <t>Jak se stavíte k novým myšlenkám a zkušenostem?</t>
  </si>
  <si>
    <t>Jaký typ úkolů Vás nejvíce motivuje?</t>
  </si>
  <si>
    <t> Jaké změny by podle Vás mohly zlepšit práci na dálku ve Vašem týmu nebo organizaci?</t>
  </si>
  <si>
    <t xml:space="preserve">Jaké změny by podle Vás mohly zlepšit práci v kanceláři ve Vašem týmu nebo organizaci?
</t>
  </si>
  <si>
    <t xml:space="preserve"> Jaké aktivity nebo metody by mohly podpořit týmovou soudržnost bez ohledu na prostředí?
</t>
  </si>
  <si>
    <t>anonymous</t>
  </si>
  <si>
    <t>Čeština</t>
  </si>
  <si>
    <t>Architekt</t>
  </si>
  <si>
    <t xml:space="preserve">Vedoucí/projektový manažer </t>
  </si>
  <si>
    <t>Freelancer</t>
  </si>
  <si>
    <t>100 % na dálku</t>
  </si>
  <si>
    <t>Výrazně vyšší</t>
  </si>
  <si>
    <t>Flexibilní pracovní doba;</t>
  </si>
  <si>
    <t>Zákaz použití mobilných telefonú;</t>
  </si>
  <si>
    <t>Velmi efektivní</t>
  </si>
  <si>
    <t>Microsoft Teams;</t>
  </si>
  <si>
    <t>Integrita kalendáře, nedodržení - absence na střetnutí;</t>
  </si>
  <si>
    <t>Nikdy</t>
  </si>
  <si>
    <t>Mírně nižší</t>
  </si>
  <si>
    <t>Přímý kontakt s vedením;</t>
  </si>
  <si>
    <t>Dlouhá doba dojíždění;Nedostatočné soukromí, vytíženost, felxibilita, plýtvaní časem presunama;</t>
  </si>
  <si>
    <t>Neutrální</t>
  </si>
  <si>
    <t>Při práci na dálku</t>
  </si>
  <si>
    <t>Více času na rodinu nebo koníčky (při práci na dálku);Autonomie při práci;</t>
  </si>
  <si>
    <t>Velmi dobrá</t>
  </si>
  <si>
    <t>Práce v kanceláři je více stresující</t>
  </si>
  <si>
    <t>Práce na dálku má lepší vliv</t>
  </si>
  <si>
    <t>moznost pouzivat mobil na Teams, drive, mail, etc.</t>
  </si>
  <si>
    <t>nechcem pracu v kancelarii</t>
  </si>
  <si>
    <t>kolaboracne nastroje, diversita a inkluzia v zmysle spajania ludi, ktory si rozumeju a doplnaju sa</t>
  </si>
  <si>
    <t>anonymní</t>
  </si>
  <si>
    <t>Service Desk Analyst</t>
  </si>
  <si>
    <t>Junior </t>
  </si>
  <si>
    <t>Částečný úvazek</t>
  </si>
  <si>
    <t>Velká (nad 250 zaměstnanců)</t>
  </si>
  <si>
    <t>Evropa (mimo ČR)</t>
  </si>
  <si>
    <t>Převážně na dálku, občas v kanceláři</t>
  </si>
  <si>
    <t>Stejná</t>
  </si>
  <si>
    <t>Flexibilní pracovní doba;Klidné pracovní prostředí</t>
  </si>
  <si>
    <t>Nedostatečná technická podpora</t>
  </si>
  <si>
    <t>Microsoft Teams;E-mail</t>
  </si>
  <si>
    <t>Technické problémy</t>
  </si>
  <si>
    <t>Přímý kontakt s vedením;Týmová spolupráce a interakce</t>
  </si>
  <si>
    <t>Hluk v kanceláři;Dlouhá doba dojíždění</t>
  </si>
  <si>
    <t>Flexibilita pracovní doby</t>
  </si>
  <si>
    <t>Spolupráce s kolegy;Možnost rychlé konzultace a řešení problémů;Lepší dostupnost pracovních nástrojů a vybavení</t>
  </si>
  <si>
    <t>Kombinace obojího</t>
  </si>
  <si>
    <t>Spíše přátelský a vstřícný</t>
  </si>
  <si>
    <t>Spíše konzervativně a opatrně</t>
  </si>
  <si>
    <t>Samostatné, vyžadující hluboké zamyšlení</t>
  </si>
  <si>
    <t>platforma na dokumenty a úkoly – něco, co je přehledné a kde všichni vidí, co se děje. A možná i nějaký virtuální koutek na neformální pokec, abychom neztratili lidský kontakt.</t>
  </si>
  <si>
    <t>flexibilita – třeba možnost občas si vybrat tiché místo nebo si upravit pracovní dobu, více prostoru pro sdílení nápadů – třeba formou brainstormovacích snídaní nebo mini workshopů</t>
  </si>
  <si>
    <t>Určitě něco zábavného – třeba online kvízy, escape roomy nebo neformální „coffee breaky“ přes video, Skvělé by byly i hybridní teambuildingy – něco, co si můžeš užít z domova i z kanceláře. A hlavně otevřená a pravidelná komunikace – vědět, že jsme na jedné lodi, je základ</t>
  </si>
  <si>
    <t>stavební projektant</t>
  </si>
  <si>
    <t>Medior </t>
  </si>
  <si>
    <t>Plný úvazek</t>
  </si>
  <si>
    <t>Malá (do 50 zaměstnanců)</t>
  </si>
  <si>
    <t>Česká republika</t>
  </si>
  <si>
    <t>Převážně v kanceláři, občas na dálku</t>
  </si>
  <si>
    <t>Výrazně nižší</t>
  </si>
  <si>
    <t>Jasné cíle a zadání od vedení;Kvalitní technologie a nástroje</t>
  </si>
  <si>
    <t>Chybějící osobní kontakt s kolegy;Rušivé prostředí</t>
  </si>
  <si>
    <t>Technické problémy;Nejasná zadání úkolů</t>
  </si>
  <si>
    <t>Týmová spolupráce a interakce;Přímý kontakt s vedením;Profesionální prostředí;Méně rušivých vlivů než doma</t>
  </si>
  <si>
    <t>Dlouhá doba dojíždění</t>
  </si>
  <si>
    <t>Spíše efektivní</t>
  </si>
  <si>
    <t>Při práci v kanceláři</t>
  </si>
  <si>
    <t>Flexibilita pracovní doby;Autonomie při práci</t>
  </si>
  <si>
    <t>Možnost rychlé konzultace a řešení problémů</t>
  </si>
  <si>
    <t>Dobrá</t>
  </si>
  <si>
    <t>Práce na dálku je více stresující</t>
  </si>
  <si>
    <t>Práce v kanceláři má lepší vliv</t>
  </si>
  <si>
    <t>Extrovert</t>
  </si>
  <si>
    <t xml:space="preserve">Spíše spontánní </t>
  </si>
  <si>
    <t>Spíše klidně a odolně</t>
  </si>
  <si>
    <t>Spíše zvědavě a otevřeně</t>
  </si>
  <si>
    <t>Kombinace obou typů</t>
  </si>
  <si>
    <t>Presne zadani ukolu a terminu</t>
  </si>
  <si>
    <t>Firemni akce</t>
  </si>
  <si>
    <t>Vývojář</t>
  </si>
  <si>
    <t>Mírně vyšší</t>
  </si>
  <si>
    <t>Flexibilní pracovní doba;Klidné pracovní prostředí;Kvalitní technologie a nástroje;Jasné cíle a zadání od vedení</t>
  </si>
  <si>
    <t>Musím si vařit</t>
  </si>
  <si>
    <t>Týmová spolupráce a interakce;Přímý kontakt s vedením</t>
  </si>
  <si>
    <t>Hluk v kanceláři;Přerušování kolegy;Dlouhá doba dojíždění</t>
  </si>
  <si>
    <t>Více času na rodinu nebo koníčky (při práci na dálku);Flexibilita pracovní doby;Nižší náklady na dopravu ;Autonomie při práci;Možnost poslouchat hudbu nahlas</t>
  </si>
  <si>
    <t>Spolupráce s kolegy;Možnost rychlé konzultace a řešení problémů;Obědy, svačiny</t>
  </si>
  <si>
    <t>Velmi špatná</t>
  </si>
  <si>
    <t>Introvert</t>
  </si>
  <si>
    <t xml:space="preserve">Klidně a odolně </t>
  </si>
  <si>
    <t xml:space="preserve">Méně hlučné prostředí, zrušit open space. Mít vlastní kanceláře </t>
  </si>
  <si>
    <t>Ředitel</t>
  </si>
  <si>
    <t>Střední (50–250 zaměstnanců)</t>
  </si>
  <si>
    <t>Flexibilní pracovní doba</t>
  </si>
  <si>
    <t>Chybějící osobní kontakt s kolegy</t>
  </si>
  <si>
    <t>Spíše neefektivní</t>
  </si>
  <si>
    <t>Nedostatek neformálních rozhovorů;časové spoždění při reakci ostatních kolegů.</t>
  </si>
  <si>
    <t>Motivace je stejná</t>
  </si>
  <si>
    <t>Flexibilita pracovní doby;Nižší náklady na dopravu </t>
  </si>
  <si>
    <t>Spolupráce s kolegy;Možnost rychlé konzultace a řešení problémů</t>
  </si>
  <si>
    <t>Žádné prostředí pro mě není stresující</t>
  </si>
  <si>
    <t>Obě prostředí jsou srovnatelná</t>
  </si>
  <si>
    <t>Spíše systematický</t>
  </si>
  <si>
    <t>pevně stanovená dostupnost na Teams a emailu. Nutnost dodržovat od všech zaměstnanců.</t>
  </si>
  <si>
    <t>Dostatek focus roomů</t>
  </si>
  <si>
    <t>neformální setkávání</t>
  </si>
  <si>
    <t>English (United Kingdom)‎</t>
  </si>
  <si>
    <t>Projektový manažer</t>
  </si>
  <si>
    <t>Amerika</t>
  </si>
  <si>
    <t>Rušivé prostředí;Nedostatek jasných instrukcí</t>
  </si>
  <si>
    <t xml:space="preserve"> Spíše efektivní</t>
  </si>
  <si>
    <t>Nedostatek neformálních rozhovorů</t>
  </si>
  <si>
    <t>Týmová spolupráce a interakce;Profesionální prostředí</t>
  </si>
  <si>
    <t>Přerušování kolegy;Dlouhá doba dojíždění</t>
  </si>
  <si>
    <t>Flexibilita pracovní doby;Více času na rodinu nebo koníčky (při práci na dálku);Nižší náklady na dopravu ;Autonomie při práci</t>
  </si>
  <si>
    <t>Spolupráce s kolegy</t>
  </si>
  <si>
    <t>Špatná</t>
  </si>
  <si>
    <t>I cannot ask more then what I have.</t>
  </si>
  <si>
    <t>Good question, in my opinion it would be to change  purpose or reason why we need to go to office.</t>
  </si>
  <si>
    <t xml:space="preserve">Work enviroments needs to be insync within teams or project initiatives. Personal touch, cooperation in office needs to be agreed and accepted by profesionals to meet vommon grounds and benefit from the best of each working enviroment. </t>
  </si>
  <si>
    <t>Senior </t>
  </si>
  <si>
    <t>Klidné pracovní prostředí;Kvalitní technologie a nástroje;Jasné cíle a zadání od vedení</t>
  </si>
  <si>
    <t>Rušivé prostředí</t>
  </si>
  <si>
    <t>Nedostatek neformálních rozhovorů;Nejasná zadání úkolů</t>
  </si>
  <si>
    <t>Týmová spolupráce a interakce;Méně rušivých vlivů než doma</t>
  </si>
  <si>
    <t>Více času na rodinu nebo koníčky (při práci na dálku);Autonomie při práci;Nižší náklady na dopravu </t>
  </si>
  <si>
    <t>pravidelné meetingy</t>
  </si>
  <si>
    <t>po práci chodit na pivo</t>
  </si>
  <si>
    <t>společné mimopracovní aktivity</t>
  </si>
  <si>
    <t xml:space="preserve">UX/UI designér </t>
  </si>
  <si>
    <t>Klidné pracovní prostředí;Flexibilní pracovní doba</t>
  </si>
  <si>
    <t>Nedostatek jasných instrukcí</t>
  </si>
  <si>
    <t>Google Meet;Zoom;E-mail;Microsoft Teams</t>
  </si>
  <si>
    <t>Nejasná zadání úkolů</t>
  </si>
  <si>
    <t xml:space="preserve">Nepomáhají </t>
  </si>
  <si>
    <t>Hluk v kanceláři;Přerušování kolegy</t>
  </si>
  <si>
    <t>Autonomie při práci;Flexibilita pracovní doby</t>
  </si>
  <si>
    <t xml:space="preserve">Žádné </t>
  </si>
  <si>
    <t>24/7 support</t>
  </si>
  <si>
    <t xml:space="preserve">Netlačit introverty do týmových aktivit které nejsou nezbytné </t>
  </si>
  <si>
    <t>E-mail;Discord;Whatsapp</t>
  </si>
  <si>
    <t xml:space="preserve">Nejasná zadání úkolů;Zápis velkého množství úkolů bez termínů </t>
  </si>
  <si>
    <t>Autonomie při práci;Více času na rodinu nebo koníčky (při práci na dálku);Flexibilita pracovní doby;Nižší náklady na dopravu </t>
  </si>
  <si>
    <t>Zadavat jasné úkoly s jasnými termíny. Zároveň správně prioritizovat potřeby a úkoly firmy s ne dávat všechno najednou s potřebou to mít hned ready to deploy.</t>
  </si>
  <si>
    <t xml:space="preserve">Stejné jako u minulé otázky </t>
  </si>
  <si>
    <t xml:space="preserve">Třeba týmové večírky, akce kde by se dalo odpočinout. I náš se jede skoro 12/5 bez nějakých bonusů nebo možnosti odpočinku </t>
  </si>
  <si>
    <t>Mimo Evropu</t>
  </si>
  <si>
    <t>Klidné pracovní prostředí</t>
  </si>
  <si>
    <t>Microsoft Teams</t>
  </si>
  <si>
    <t>Týmová spolupráce a interakce</t>
  </si>
  <si>
    <t>Hluk v kanceláři</t>
  </si>
  <si>
    <t>Více času na rodinu nebo koníčky (při práci na dálku)</t>
  </si>
  <si>
    <t>Profesionální atmosféra</t>
  </si>
  <si>
    <t>Obě prostředí jsou stejně stresující</t>
  </si>
  <si>
    <t xml:space="preserve">Hire people with good skills </t>
  </si>
  <si>
    <t>Skilled people</t>
  </si>
  <si>
    <t xml:space="preserve">Achieving results at work </t>
  </si>
  <si>
    <t>Tester</t>
  </si>
  <si>
    <t>Klidné pracovní prostředí;Flexibilní pracovní doba;Kvalitní technologie a nástroje</t>
  </si>
  <si>
    <t>Google Meet;E-mail;Zoom</t>
  </si>
  <si>
    <t xml:space="preserve"> Časové zóny</t>
  </si>
  <si>
    <t>Pracuji zcela na dálku, takže na tuto otázku nemohu odpovědět</t>
  </si>
  <si>
    <t>Dlouhá doba dojíždění;Hluk v kanceláři</t>
  </si>
  <si>
    <t>Týmové, zahrnující spolupráci s ostatními</t>
  </si>
  <si>
    <t>Práce na dálku je skvělá, nemám žádné nápady na zlepšení.</t>
  </si>
  <si>
    <t>Domnívám se, že tradiční model kancelářské práce by měl ustoupit modernějším formám. Ideální rovnováhu mezi pracovním a osobním životem nabízí kombinace – dvě dny v kanceláři, tři dny práce na dálku.</t>
  </si>
  <si>
    <t>Inženýr</t>
  </si>
  <si>
    <t>Klidné pracovní prostředí;Jasné cíle a zadání od vedení</t>
  </si>
  <si>
    <t>Rušivé prostředí;Nedostatečná technická podpora</t>
  </si>
  <si>
    <t>Slack;Microsoft Teams;Zoom;E-mail</t>
  </si>
  <si>
    <t xml:space="preserve"> Časové zóny;Nejasná zadání úkolů</t>
  </si>
  <si>
    <t>I don't work in the office</t>
  </si>
  <si>
    <t>Autonomie při práci;Nižší náklady na dopravu </t>
  </si>
  <si>
    <t>relocate to the same time zone</t>
  </si>
  <si>
    <t>self improvement</t>
  </si>
  <si>
    <t>Flexibilní pracovní doba;Jasné cíle a zadání od vedení</t>
  </si>
  <si>
    <t>Chybějící osobní kontakt s kolegy;Nedostatečná technická podpora</t>
  </si>
  <si>
    <t>Slack;Microsoft Teams;Zoom</t>
  </si>
  <si>
    <t xml:space="preserve"> Časové zóny;Nejasná zadání úkolů;Nedostatek neformálních rozhovorů;Нема невербальних засобів комунікації. Навіть коли ввімкнена камера, неможливо мовчки кивнути колезі і отримати підказку</t>
  </si>
  <si>
    <t>Hluk v kanceláři;Přerušování kolegy;Dlouhá doba dojíždění;Не можна працювати в неформальних позах, коли втомився сидіти за столом</t>
  </si>
  <si>
    <t>Více času na rodinu nebo koníčky (při práci na dálku);Flexibilita pracovní doby;Nižší náklady na dopravu </t>
  </si>
  <si>
    <t>Spíše citlivě a emotivně</t>
  </si>
  <si>
    <t>Швидка дистанційна підтримка щодо технічних несправностей від команди сисадмінів</t>
  </si>
  <si>
    <t>Можливість купити готові обіди на кухні офісу</t>
  </si>
  <si>
    <t xml:space="preserve">Чіткі правила взаємодії в команді, які встановлює Тім Лід. Кожен член команди не просто мовчки зробив свій шмат роботи, але й відмітив це в системі, сповістив зацікавлених осіб, розповсюдив важливу інформацію в зручній і зрозумілій для колег формі </t>
  </si>
  <si>
    <t>100 % v kanceláři</t>
  </si>
  <si>
    <t>Kvalitní technologie a nástroje;Jasné cíle a zadání od vedení</t>
  </si>
  <si>
    <t>Nedostatek jasných instrukcí;Nedostatečná technická podpora</t>
  </si>
  <si>
    <t>Google Meet;Zoom;Discord</t>
  </si>
  <si>
    <t>Nedostatek neformálních rozhovorů;Technické problémy</t>
  </si>
  <si>
    <t>Méně rušivých vlivů než doma;Profesionální prostředí</t>
  </si>
  <si>
    <t>Dlouhá doba dojíždění;Přerušování kolegy</t>
  </si>
  <si>
    <t>Flexibilita pracovní doby;Více času na rodinu nebo koníčky (při práci na dálku)</t>
  </si>
  <si>
    <t>Možnost rychlé konzultace a řešení problémů;Lepší dostupnost pracovních nástrojů a vybavení</t>
  </si>
  <si>
    <t>Spíše kritický a asertivní</t>
  </si>
  <si>
    <t>Nothing</t>
  </si>
  <si>
    <t xml:space="preserve">Accountant </t>
  </si>
  <si>
    <t xml:space="preserve">Nothing </t>
  </si>
  <si>
    <t>Méně rušivých vlivů než doma</t>
  </si>
  <si>
    <t>Přerušování kolegy</t>
  </si>
  <si>
    <t>Profesionální atmosféra;Lepší dostupnost pracovních nástrojů a vybavení</t>
  </si>
  <si>
    <t>Зменшення паперової роботи</t>
  </si>
  <si>
    <t>Збільшення кількості персоналу</t>
  </si>
  <si>
    <t>Добре так як є, я з ними майже не бачусь</t>
  </si>
  <si>
    <t>Administrátor </t>
  </si>
  <si>
    <t>Jasné cíle a zadání od vedení</t>
  </si>
  <si>
    <t>Profesionální prostředí</t>
  </si>
  <si>
    <t>Spolupráce s kolegy;Profesionální atmosféra;Možnost rychlé konzultace a řešení problémů;Lepší dostupnost pracovních nástrojů a vybavení</t>
  </si>
  <si>
    <t xml:space="preserve">Více pracovního HW doma </t>
  </si>
  <si>
    <t>Lepší logistika</t>
  </si>
  <si>
    <t xml:space="preserve">Teambuildingy </t>
  </si>
  <si>
    <t>Autonomie při práci;Více času na rodinu nebo koníčky (při práci na dálku)</t>
  </si>
  <si>
    <t>Lepší komunikace ze strany koleg</t>
  </si>
  <si>
    <t>Lepší rozložení pracovních úkolů, poslouchat</t>
  </si>
  <si>
    <t>Víc peněz a party:D</t>
  </si>
  <si>
    <t>Slack</t>
  </si>
  <si>
    <t>Lepší dostupnost pracovních nástrojů a vybavení;Profesionální atmosféra</t>
  </si>
  <si>
    <t xml:space="preserve">Clear rules about what tools to use for remote communication </t>
  </si>
  <si>
    <t xml:space="preserve">More awareness and college consideration about office noise and </t>
  </si>
  <si>
    <t xml:space="preserve">Regular team workshops (1-2 per year) about what can be done better in the team </t>
  </si>
  <si>
    <t>Přímý kontakt s vedením</t>
  </si>
  <si>
    <t>Autonomie při práci</t>
  </si>
  <si>
    <t>More money</t>
  </si>
  <si>
    <t>cash prizes and free food</t>
  </si>
  <si>
    <t>Data Analyst</t>
  </si>
  <si>
    <t>Absolvent (žádné nebo minimální zkušenosti v oboru)</t>
  </si>
  <si>
    <t>Zoom</t>
  </si>
  <si>
    <t>Přímý kontakt s vedením;Týmová spolupráce a interakce;Méně rušivých vlivů než doma;Profesionální prostředí</t>
  </si>
  <si>
    <t>Profesionální atmosféra;Možnost rychlé konzultace a řešení problémů;Spolupráce s kolegy</t>
  </si>
  <si>
    <t>Microsoft Teams;Google Meet</t>
  </si>
  <si>
    <t>Možnost rychlé konzultace a řešení problémů;Profesionální atmosféra</t>
  </si>
  <si>
    <t>All good</t>
  </si>
  <si>
    <t>Less talks</t>
  </si>
  <si>
    <t>Coffee together, not to skip meetings</t>
  </si>
  <si>
    <t>Technické problémy;Nedostatek neformálních rozhovorů</t>
  </si>
  <si>
    <t>Spolupráce s kolegy;Možnost rychlé konzultace a řešení problémů;Lepší dostupnost pracovních nástrojů a vybavení;Profesionální atmosféra</t>
  </si>
  <si>
    <t xml:space="preserve">Lepši technické vybaveni </t>
  </si>
  <si>
    <t xml:space="preserve">Klidnější prostředí </t>
  </si>
  <si>
    <t xml:space="preserve">Větší komunikace týmu  </t>
  </si>
  <si>
    <t xml:space="preserve">Teacher of English </t>
  </si>
  <si>
    <t>Chybějící osobní kontakt s kolegy;Nedostatek jasných instrukcí</t>
  </si>
  <si>
    <t>Zoom;Google Meet;E-mail</t>
  </si>
  <si>
    <t xml:space="preserve"> Časové zóny;Technické problémy</t>
  </si>
  <si>
    <t>Týmová spolupráce a interakce;Přímý kontakt s vedením;Profesionální prostředí</t>
  </si>
  <si>
    <t>Hluk v kanceláři;Nedostatečné vybavení</t>
  </si>
  <si>
    <t>Flexibilita pracovní doby;Nižší náklady na dopravu ;Autonomie při práci</t>
  </si>
  <si>
    <t>Spolupráce s kolegy;Profesionální atmosféra</t>
  </si>
  <si>
    <t xml:space="preserve">Enhance equipment </t>
  </si>
  <si>
    <t>Provide extra training</t>
  </si>
  <si>
    <t xml:space="preserve">Team building activities </t>
  </si>
  <si>
    <t xml:space="preserve">Klidné pracovní prostředí;Jasné cíle a zadání od vedení;Nevyrušování druhými lidmi, možnost pracovat podle určeného cíle a ne podle aktuální potřeby okolí. </t>
  </si>
  <si>
    <t xml:space="preserve">Nedostatečná technická podpora;Vyšší míra stereotypní práce, kterou nejde přerušit jinou pracovní činností. </t>
  </si>
  <si>
    <t>Technické problémy;Kolegové, kteří neplní domluvené zadání a místo svých úkolů dělají věci, u kterých jsme se dohodli, že je bude dělat někdo jiný. Absence přenosu zvuku ze vzdáleného připojení.</t>
  </si>
  <si>
    <t>Skutečnost, že práce "chodí za mnou" a všechno se musí udělat teď hned, protože je to urgentní. Absence koček.</t>
  </si>
  <si>
    <t>Dlouhá doba dojíždění;Přerušování kolegy;Hluk v kanceláři</t>
  </si>
  <si>
    <t>Autonomie při práci;Nulový čas strávený dojížděním.;Flexibilita pracovní doby</t>
  </si>
  <si>
    <t>Lepší dostupnost pracovních nástrojů a vybavení;Spolupráce s kolegy;Po odchodu z kanceláře už dál nemusím řešit práci.</t>
  </si>
  <si>
    <t>Podle nálady, ale hlavně podle platných pravidel. A dále podle toho, jak se ke mně chovají druzí. Asertivní a vstřícný, ale zásadový.</t>
  </si>
  <si>
    <t>Častější možnost pracovat na dálku. Služební počítač nebo možnost využívat všechny funkce i na HO ve stejné kvalitě jako v práci.</t>
  </si>
  <si>
    <t>Možnost jídla na pracovišti. Možnost rozdělit si pauzu na více částí. Lepší komunikace informací ze strany nadřízených našeho nadřízeného.</t>
  </si>
  <si>
    <t xml:space="preserve">Stejný přístup ke všem zaměstnancům bez ohledu na to, zda jsou HPP nebo ne. </t>
  </si>
  <si>
    <t>Microsoft Teams;E-mail;Phone</t>
  </si>
  <si>
    <t>Více času na rodinu nebo koníčky (při práci na dálku);No travel time</t>
  </si>
  <si>
    <t>Trust from management in other teams</t>
  </si>
  <si>
    <t>Meeting cubes</t>
  </si>
  <si>
    <t>Time slots without scheduled meetings</t>
  </si>
  <si>
    <t>Consultant</t>
  </si>
  <si>
    <t>Flexibilita pracovní doby;Více času na rodinu nebo koníčky (při práci na dálku);Autonomie při práci</t>
  </si>
  <si>
    <t xml:space="preserve">Software Engineer in Software Localization </t>
  </si>
  <si>
    <t>Flexibilní pracovní doba;Klidné pracovní prostředí;Jasné cíle a zadání od vedení</t>
  </si>
  <si>
    <t>Týmová spolupráce a interakce;Profesionální prostředí;Méně rušivých vlivů než doma</t>
  </si>
  <si>
    <t xml:space="preserve">Dostupnost a odezva sitovych disku </t>
  </si>
  <si>
    <t>Nic</t>
  </si>
  <si>
    <t>Team buildingové aktivity</t>
  </si>
  <si>
    <t>Zoom;E-mail;Google Meet;Discord</t>
  </si>
  <si>
    <t xml:space="preserve"> Časové zóny;Nedostatek neformálních rozhovorů</t>
  </si>
  <si>
    <t>Profesionální prostředí;Týmová spolupráce a interakce</t>
  </si>
  <si>
    <t>Hluk v kanceláři;Dlouhá doba dojíždění;Nedostatečné vybavení</t>
  </si>
  <si>
    <t>Autonomie při práci;Více času na rodinu nebo koníčky (při práci na dálku);Nižší náklady na dopravu </t>
  </si>
  <si>
    <t>Profesionální atmosféra;Možnost rychlé konzultace a řešení problémů</t>
  </si>
  <si>
    <t xml:space="preserve">Více komunikace, považováni osobního času pro odpočinek </t>
  </si>
  <si>
    <t xml:space="preserve">Lepší technologie, vstřícnost vědění, lepší pracovní atmosféra, aktivity </t>
  </si>
  <si>
    <t>Team buildy, neformální setkání a kolegy</t>
  </si>
  <si>
    <t>Nedostatečná technická podpora;Chybějící osobní kontakt s kolegy</t>
  </si>
  <si>
    <t>Microsoft Teams;Zoom</t>
  </si>
  <si>
    <t>Technické problémy;Nedostatek neformálních rozhovorů; Časové zóny</t>
  </si>
  <si>
    <t>Profesionální prostředí;Přímý kontakt s vedením</t>
  </si>
  <si>
    <t>Více času na rodinu nebo koníčky (při práci na dálku);Flexibilita pracovní doby</t>
  </si>
  <si>
    <t>Profesionální atmosféra;Spolupráce s kolegy</t>
  </si>
  <si>
    <t>žádné</t>
  </si>
  <si>
    <t>více komunikace</t>
  </si>
  <si>
    <t>teambuldingy, akce jako výlety</t>
  </si>
  <si>
    <t>marketing</t>
  </si>
  <si>
    <t>Zoom;E-mail</t>
  </si>
  <si>
    <t>Bezplatná praxe</t>
  </si>
  <si>
    <t>Více času na rodinu nebo koníčky (při práci na dálku);Flexibilita pracovní doby;Autonomie při práci</t>
  </si>
  <si>
    <t>Rychlejší odpověď od kolegů</t>
  </si>
  <si>
    <t>-</t>
  </si>
  <si>
    <t>Mimopracovní sešlosti</t>
  </si>
  <si>
    <t>Přímý kontakt s vedením;Profesionální prostředí;Méně rušivých vlivů než doma</t>
  </si>
  <si>
    <t>Nižší náklady na dopravu ;Flexibilita pracovní doby</t>
  </si>
  <si>
    <t>Profesionální atmosféra;Možnost rychlé konzultace a řešení problémů;Lepší dostupnost pracovních nástrojů a vybavení</t>
  </si>
  <si>
    <t>Koordinátor</t>
  </si>
  <si>
    <t>Flexibilní pracovní doba;Kvalitní technologie a nástroje;Klidné pracovní prostředí</t>
  </si>
  <si>
    <t>Rušivé prostředí;Chybějící osobní kontakt s kolegy;Nedostatek jasných instrukcí</t>
  </si>
  <si>
    <t>Signal</t>
  </si>
  <si>
    <t>Skupina na sdílení informací co zazní v kanceláři.</t>
  </si>
  <si>
    <t>Microsoft Teams;Jíra, signal</t>
  </si>
  <si>
    <t>Spolupráce s kolegy;Profesionální atmosféra;Možnost rychlé konzultace a řešení problémů</t>
  </si>
  <si>
    <t>Slack;E-mail;Zoom;Google Meet</t>
  </si>
  <si>
    <t>Slack;Microsoft Teams;Google Meet;Zoom</t>
  </si>
  <si>
    <t>Flexibilita pracovní doby;Nižší náklady na dopravu ;Více času na rodinu nebo koníčky (při práci na dálku)</t>
  </si>
  <si>
    <t>Peníze</t>
  </si>
  <si>
    <t xml:space="preserve">Vyřídit záležitosti s kolegou se </t>
  </si>
  <si>
    <t>Hluk v kanceláři;Nepovolené Spotify</t>
  </si>
  <si>
    <t>Autonomie při práci;Více času na rodinu nebo koníčky (při práci na dálku);Flexibilita pracovní doby;Nižší náklady na dopravu ;Díky ušetřenému času dopravou, mám delší pracovní dobu ale s více přestávkami</t>
  </si>
  <si>
    <t>Žádné mne nenapadají, co by měli nějaký smysluplný dopad.</t>
  </si>
  <si>
    <t>Autonomie při práci;Více času na rodinu nebo koníčky (při práci na dálku);Flexibilita pracovní doby</t>
  </si>
  <si>
    <t>povinne webkamery v meetinzich</t>
  </si>
  <si>
    <t>IT analytik</t>
  </si>
  <si>
    <t>Více času na rodinu nebo koníčky (při práci na dálku);Flexibilita pracovní doby;Méně času zbytečně spáleného dojížděním</t>
  </si>
  <si>
    <t>Práce na dálku funguje v pořádku, spíš narážíme na úskalí zvýšeného návratu do kanceláře</t>
  </si>
  <si>
    <t>Mít víc oddělené místa pro různé týmy</t>
  </si>
  <si>
    <t>Teambuilding, občas se sejít na večeři nebo zajít do hospody</t>
  </si>
  <si>
    <t>není to už produktivní</t>
  </si>
  <si>
    <t>Nedostatek koncentrace</t>
  </si>
  <si>
    <t>nemotivuje</t>
  </si>
  <si>
    <t>placená dovolená pro celou rodinu :D</t>
  </si>
  <si>
    <t>lepší oddělení pracovních prostor, snížení vyrušování od ostatních týmů</t>
  </si>
  <si>
    <t>deskovky:)</t>
  </si>
  <si>
    <t>viditelná důvěra a podpora od vedení - dát to jako benefit i klidně</t>
  </si>
  <si>
    <t>nedělat z toho povinnost, ale volbu</t>
  </si>
  <si>
    <t>pravidelná setkání, team-bulidingy, off-sity</t>
  </si>
  <si>
    <t>Hluk v kanceláři;Přerušování kolegy;Dlouhá doba dojíždění;Nedostatečné vybavení</t>
  </si>
  <si>
    <t>Autonomie při práci;Flexibilita pracovní doby;Nižší náklady na dopravu </t>
  </si>
  <si>
    <t>Lepší dokumentace</t>
  </si>
  <si>
    <t>Lepší dostupnost a flexibilnější čas</t>
  </si>
  <si>
    <t>Za mě není nutno zlepšovat</t>
  </si>
  <si>
    <t>Flexibilní pracovní doba;Klidné pracovní prostředí;Kvalitní technologie a nástroje;To, že mě práce baví</t>
  </si>
  <si>
    <t>Když mám dělat na něčem, co mě nebaví</t>
  </si>
  <si>
    <t>Když management neumí vést lidi, kteří pracují vzdáleně</t>
  </si>
  <si>
    <t>Týmová spolupráce a interakce;že mě to baví</t>
  </si>
  <si>
    <t>Přerušování kolegy;Hluk v kanceláři</t>
  </si>
  <si>
    <t>myslím, že to u nás skvěle funguje</t>
  </si>
  <si>
    <t>kdyby si do naší sekce nesedali lidé, co tam nemají, co dělat a nebyli hluční</t>
  </si>
  <si>
    <t>společná večeře, pivko a tak</t>
  </si>
  <si>
    <t>Slack;Microsoft Teams;E-mail</t>
  </si>
  <si>
    <t>Technické problémy;Nejasná zadání úkolů; Časové zóny</t>
  </si>
  <si>
    <t xml:space="preserve">možnost pracovat na dálku </t>
  </si>
  <si>
    <t>Ergonomický nábytek, lepší rozdělení kancelářských prostoru, základní občerstvení zdarma</t>
  </si>
  <si>
    <t>peer-learning</t>
  </si>
  <si>
    <t>Nedostatečná technická podpora;Nedostatek jasných instrukcí</t>
  </si>
  <si>
    <t>Slack;Discord;E-mail</t>
  </si>
  <si>
    <t xml:space="preserve"> Časové zóny;Technické problémy;Nejasná zadání úkolů;Nedostatek neformálních rozhovorů</t>
  </si>
  <si>
    <t>Lepší dostupnost pracovních nástrojů a vybavení</t>
  </si>
  <si>
    <t>Rušivé prostředí;Chybějící osobní kontakt s kolegy;Nedostatek jasných instrukcí;Nedostatečná technická podpora</t>
  </si>
  <si>
    <t xml:space="preserve"> Časové zóny;Nedostatek neformálních rozhovorů;Technické problémy;Nejasná zadání úkolů</t>
  </si>
  <si>
    <t>Spolupráce s kolegy;Možnost rychlé konzultace a řešení problémů;Profesionální atmosféra;Lepší dostupnost pracovních nástrojů a vybavení</t>
  </si>
  <si>
    <t>Chybějící osobní kontakt s kolegy;Nedostatek jasných instrukcí;Nedostatečná technická podpora</t>
  </si>
  <si>
    <t>Možnost rychlé konzultace a řešení problémů;Spolupráce s kolegy</t>
  </si>
  <si>
    <t xml:space="preserve">abychom ta práce na dálku existovala </t>
  </si>
  <si>
    <t xml:space="preserve">kantyna v kanclu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</si>
</sst>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22" fontId="0" fillId="0" borderId="0" xfId="0" applyNumberFormat="1"/>
    <xf numFmtId="49" fontId="0" fillId="0" borderId="0" xfId="0" applyNumberFormat="1"/>
    <xf numFmtId="49" fontId="0" fillId="0" borderId="0" xfId="0" quotePrefix="1" applyNumberFormat="1"/>
  </cellXfs>
  <cellStyles count="1">
    <cellStyle name="Normal" xfId="0" builtinId="0"/>
  </cellStyles>
  <dxfs count="37">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30" formatCode="@"/>
    </dxf>
    <dxf>
      <numFmt numFmtId="30" formatCode="@"/>
    </dxf>
    <dxf>
      <numFmt numFmtId="0" formatCode="General"/>
    </dxf>
    <dxf>
      <numFmt numFmtId="30" formatCode="@"/>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SupportingPropertyBag" Target="richData/rdsupportingpropertybag.xml"/><Relationship Id="rId3" Type="http://schemas.openxmlformats.org/officeDocument/2006/relationships/theme" Target="theme/theme1.xml"/><Relationship Id="rId7" Type="http://schemas.microsoft.com/office/2022/10/relationships/richValueRel" Target="richData/richValueRel.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23/09/relationships/Python" Target="python.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ichStyles" Target="richData/richStyles.xml"/><Relationship Id="rId5" Type="http://schemas.openxmlformats.org/officeDocument/2006/relationships/sharedStrings" Target="sharedStrings.xml"/><Relationship Id="rId15" Type="http://schemas.openxmlformats.org/officeDocument/2006/relationships/calcChain" Target="calcChai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microsoft.com/office/2017/06/relationships/rdRichValueTypes" Target="richData/rdRichValueTypes.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
  <a r="11">
    <v t="r">0</v>
    <v t="s">Samostatné, vyžadující hluboké zamyšlení</v>
    <v t="s">Kombinace obou typů</v>
    <v t="s">Kombinace obou typů</v>
    <v t="s">Kombinace obou typů</v>
    <v t="s">...</v>
    <v t="s">Kombinace obou typů</v>
    <v t="s">Samostatné, vyžadující hluboké zamyšlení</v>
    <v t="s">Samostatné, vyžadující hluboké zamyšlení</v>
    <v t="s">Týmové, zahrnující spolupráci s ostatními</v>
    <v t="s">Kombinace obou typů</v>
  </a>
  <a r="2">
    <v>431</v>
    <v>409</v>
  </a>
  <a r="2">
    <v>1010</v>
    <v>836</v>
  </a>
  <a r="7">
    <v>2</v>
    <v>12</v>
    <v>14</v>
    <v>21</v>
    <v>24</v>
    <v>31</v>
    <v>48</v>
  </a>
  <a r="11">
    <v>1</v>
    <v>4</v>
    <v>5</v>
    <v>9</v>
    <v>10</v>
    <v t="s">...</v>
    <v>37</v>
    <v>42</v>
    <v>43</v>
    <v>45</v>
    <v>49</v>
  </a>
</arrayData>
</file>

<file path=xl/richData/rdrichvalue.xml><?xml version="1.0" encoding="utf-8"?>
<rvData xmlns="http://schemas.microsoft.com/office/spreadsheetml/2017/richdata" count="21">
  <rv s="0">
    <fb>0</fb>
    <v>0</v>
  </rv>
  <rv s="1">
    <fb>0</fb>
    <v>&lt;class 'NoneType'&gt;</v>
    <v>NoneType</v>
    <v>None</v>
    <v>0</v>
    <v>1</v>
  </rv>
  <rv s="2">
    <v>0</v>
  </rv>
  <rv s="3">
    <v>ndarray</v>
    <v>3</v>
    <v>2</v>
  </rv>
  <rv s="1">
    <v>&lt;class 'numpy.ndarray'&gt;</v>
    <v>ndarray</v>
    <v>[None 'Samostatné, vyžadující hluboké zamyšlení' 'Kombinace obou typů'
 'Kombinace obou typů' 'Kombinace obou typů' 'Kombinace obou typů'
 'Samostatné, vyžadující hluboké zamyšlení'
 'Samostatné, vyžadující hluboké zamyšlení'
 'Samostatné, vyžadující h...</v>
    <v>3</v>
    <v>1</v>
  </rv>
  <rv s="4">
    <v>0</v>
    <v>9</v>
  </rv>
  <rv s="2">
    <v>1</v>
  </rv>
  <rv s="5">
    <v>Image</v>
    <v>4</v>
    <v>5</v>
    <v>6</v>
  </rv>
  <rv s="1">
    <v>&lt;class 'PIL.PngImagePlugin.PngImageFile'&gt;</v>
    <v>PngImageFile</v>
    <v>&lt;PIL.PngImagePlugin.PngImageFile image mode=RGBA size=431x409 at 0x7F5DBE316AE0&gt;</v>
    <v>7</v>
    <v>1</v>
  </rv>
  <rv s="4">
    <v>0</v>
    <v>3</v>
  </rv>
  <rv s="4">
    <v>1</v>
    <v>9</v>
  </rv>
  <rv s="2">
    <v>2</v>
  </rv>
  <rv s="5">
    <v>Image</v>
    <v>4</v>
    <v>10</v>
    <v>11</v>
  </rv>
  <rv s="1">
    <v>&lt;class 'PIL.PngImagePlugin.PngImageFile'&gt;</v>
    <v>PngImageFile</v>
    <v>&lt;PIL.PngImagePlugin.PngImageFile image mode=RGBA size=1010x836 at 0x7F5DBE0ADD90&gt;</v>
    <v>12</v>
    <v>1</v>
  </rv>
  <rv s="4">
    <v>1</v>
    <v>3</v>
  </rv>
  <rv s="2">
    <v>3</v>
  </rv>
  <rv s="3">
    <v>list</v>
    <v>6</v>
    <v>15</v>
  </rv>
  <rv s="1">
    <v>&lt;class 'list'&gt;</v>
    <v>list</v>
    <v>[2, 12, 14, 21, 24, 31, 48]</v>
    <v>16</v>
    <v>1</v>
  </rv>
  <rv s="2">
    <v>4</v>
  </rv>
  <rv s="3">
    <v>list</v>
    <v>8</v>
    <v>18</v>
  </rv>
  <rv s="1">
    <v>&lt;class 'list'&gt;</v>
    <v>list</v>
    <v>[1, 4, 5, 9, 10, 13, 17, 25, 26, 29, 32, 37, 42, 43, 45, 49]</v>
    <v>19</v>
    <v>1</v>
  </rv>
</rvData>
</file>

<file path=xl/richData/rdrichvaluestructure.xml><?xml version="1.0" encoding="utf-8"?>
<rvStructures xmlns="http://schemas.microsoft.com/office/spreadsheetml/2017/richdata" count="6">
  <s t="_formattednumber">
    <k n="_Format" t="spb"/>
  </s>
  <s t="_python">
    <k n="Python_type" t="s"/>
    <k n="Python_typeName" t="s"/>
    <k n="Python_str" t="s"/>
    <k n="preview" t="r"/>
    <k n="_Provider" t="spb"/>
  </s>
  <s t="_array">
    <k n="array" t="a"/>
  </s>
  <s t="_entity">
    <k n="_DisplayString" t="s"/>
    <k n="_ViewInfo" t="spb"/>
    <k n="arrayPreview" t="r"/>
  </s>
  <s t="_localImage">
    <k n="_rvRel:LocalImageIdentifier" t="i"/>
    <k n="CalcOrigin" t="i"/>
  </s>
  <s t="_entity">
    <k n="_DisplayString" t="s"/>
    <k n="_Format" t="spb"/>
    <k n="image" t="r"/>
    <k n="size" t="r"/>
  </s>
</rvStructures>
</file>

<file path=xl/richData/rdsupportingpropertybag.xml><?xml version="1.0" encoding="utf-8"?>
<supportingPropertyBags xmlns="http://schemas.microsoft.com/office/spreadsheetml/2017/richdata2">
  <spbData count="9">
    <spb s="0">
      <v>1</v>
    </spb>
    <spb s="1">
      <v>https://www.anaconda.com/excel</v>
      <v>https://res.cdn.office.net/officepysvc/prod-service/anacondalogo.png</v>
      <v>Python provided by Anaconda</v>
    </spb>
    <spb s="2">
      <v>50</v>
      <v>1</v>
      <v>ndarray</v>
      <v>arrayPreview</v>
    </spb>
    <spb s="3">
      <v>2</v>
    </spb>
    <spb s="4">
      <v>2</v>
    </spb>
    <spb s="2">
      <v>7</v>
      <v>1</v>
      <v>list</v>
      <v>arrayPreview</v>
    </spb>
    <spb s="3">
      <v>5</v>
    </spb>
    <spb s="2">
      <v>16</v>
      <v>1</v>
      <v>list</v>
      <v>arrayPreview</v>
    </spb>
    <spb s="3">
      <v>7</v>
    </spb>
  </spbData>
</supportingPropertyBags>
</file>

<file path=xl/richData/rdsupportingpropertybagstructure.xml><?xml version="1.0" encoding="utf-8"?>
<spbStructures xmlns="http://schemas.microsoft.com/office/spreadsheetml/2017/richdata2" count="5">
  <s>
    <k n="_Self" t="i"/>
  </s>
  <s>
    <k n="link" t="s"/>
    <k n="logo" t="s"/>
    <k n="name" t="s"/>
  </s>
  <s>
    <k n="drw" t="i"/>
    <k n="dcol" t="i"/>
    <k n="name" t="s"/>
    <k n="array" t="s"/>
  </s>
  <s>
    <k n="ArrayCardInfo" t="spb"/>
  </s>
  <s>
    <k n="imag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NumberFormat" t="s"/>
    <rPr n="IsHeroField" t="b"/>
  </richProperties>
  <richStyles>
    <rSty dxfid="0">
      <rpv i="0">0;-0;"None"</rpv>
    </rSty>
    <rSty>
      <rpv i="1">1</rpv>
    </rSty>
  </richStyles>
</richStyleSheet>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iceForms.Table" displayName="OfficeForms.Table" ref="A1:AM51" totalsRowShown="0">
  <autoFilter ref="A1:AM51" xr:uid="{00000000-0009-0000-0100-000001000000}"/>
  <tableColumns count="39">
    <tableColumn id="1" xr3:uid="{00000000-0010-0000-0000-000001000000}" name="Id" dataDxfId="36">
      <extLst>
        <ext xmlns:xlmsforms="http://schemas.microsoft.com/office/spreadsheetml/2023/msForms" uri="{FCC71383-01E1-4257-9335-427F07BE8D7F}">
          <xlmsforms:question id="id"/>
        </ext>
      </extLst>
    </tableColumn>
    <tableColumn id="2" xr3:uid="{00000000-0010-0000-0000-000002000000}" name="Počáteční čas">
      <extLst>
        <ext xmlns:xlmsforms="http://schemas.microsoft.com/office/spreadsheetml/2023/msForms" uri="{FCC71383-01E1-4257-9335-427F07BE8D7F}">
          <xlmsforms:question id="startDate"/>
        </ext>
      </extLst>
    </tableColumn>
    <tableColumn id="3" xr3:uid="{00000000-0010-0000-0000-000003000000}" name="Čas dokončení">
      <extLst>
        <ext xmlns:xlmsforms="http://schemas.microsoft.com/office/spreadsheetml/2023/msForms" uri="{FCC71383-01E1-4257-9335-427F07BE8D7F}">
          <xlmsforms:question id="submitDate"/>
        </ext>
      </extLst>
    </tableColumn>
    <tableColumn id="4" xr3:uid="{00000000-0010-0000-0000-000004000000}" name="E-mail" dataDxfId="35">
      <extLst>
        <ext xmlns:xlmsforms="http://schemas.microsoft.com/office/spreadsheetml/2023/msForms" uri="{FCC71383-01E1-4257-9335-427F07BE8D7F}">
          <xlmsforms:question id="responder"/>
        </ext>
      </extLst>
    </tableColumn>
    <tableColumn id="5" xr3:uid="{00000000-0010-0000-0000-000005000000}" name="Jméno" dataDxfId="34">
      <extLst>
        <ext xmlns:xlmsforms="http://schemas.microsoft.com/office/spreadsheetml/2023/msForms" uri="{FCC71383-01E1-4257-9335-427F07BE8D7F}">
          <xlmsforms:question id="responderName"/>
        </ext>
      </extLst>
    </tableColumn>
    <tableColumn id="6" xr3:uid="{00000000-0010-0000-0000-000006000000}" name="Language" dataDxfId="33">
      <extLst>
        <ext xmlns:xlmsforms="http://schemas.microsoft.com/office/spreadsheetml/2023/msForms" uri="{FCC71383-01E1-4257-9335-427F07BE8D7F}">
          <xlmsforms:question id="submitLanguage"/>
        </ext>
      </extLst>
    </tableColumn>
    <tableColumn id="7" xr3:uid="{00000000-0010-0000-0000-000007000000}" name="Jaká je Vaše pracovní pozice?" dataDxfId="32">
      <extLst>
        <ext xmlns:xlmsforms="http://schemas.microsoft.com/office/spreadsheetml/2023/msForms" uri="{FCC71383-01E1-4257-9335-427F07BE8D7F}">
          <xlmsforms:question id="re017a6b1fe9d4ca4af1db7f56ba763ef"/>
        </ext>
      </extLst>
    </tableColumn>
    <tableColumn id="8" xr3:uid="{00000000-0010-0000-0000-000008000000}" name="Jaká je Vaše úroveň pracovních zkušeností?" dataDxfId="31">
      <extLst>
        <ext xmlns:xlmsforms="http://schemas.microsoft.com/office/spreadsheetml/2023/msForms" uri="{FCC71383-01E1-4257-9335-427F07BE8D7F}">
          <xlmsforms:question id="r5e74d96c90e9420a81d5b3801e9662dc"/>
        </ext>
      </extLst>
    </tableColumn>
    <tableColumn id="9" xr3:uid="{00000000-0010-0000-0000-000009000000}" name="Jaký je typ Vašeho zaměstnání?" dataDxfId="30">
      <extLst>
        <ext xmlns:xlmsforms="http://schemas.microsoft.com/office/spreadsheetml/2023/msForms" uri="{FCC71383-01E1-4257-9335-427F07BE8D7F}">
          <xlmsforms:question id="r0889f069538245539dc845d1a355403b"/>
        </ext>
      </extLst>
    </tableColumn>
    <tableColumn id="30" xr3:uid="{629AC853-D9EC-4533-8393-862D86A806B0}" name="Jaká je velikost firmy, ve které pracujete?" dataDxfId="29">
      <extLst>
        <ext xmlns:xlmsforms="http://schemas.microsoft.com/office/spreadsheetml/2023/msForms" uri="{FCC71383-01E1-4257-9335-427F07BE8D7F}">
          <xlmsforms:question id="r48b4f690ca3c4bd0957755fad7c1dd92"/>
        </ext>
      </extLst>
    </tableColumn>
    <tableColumn id="31" xr3:uid="{88CE2A87-EA8F-488C-A9ED-254B29F3A015}" name=" Kde se nachází hlavní sídlo Vaší firmy?" dataDxfId="28">
      <extLst>
        <ext xmlns:xlmsforms="http://schemas.microsoft.com/office/spreadsheetml/2023/msForms" uri="{FCC71383-01E1-4257-9335-427F07BE8D7F}">
          <xlmsforms:question id="r1712483fbdc749b1b633070463b18aaa"/>
        </ext>
      </extLst>
    </tableColumn>
    <tableColumn id="10" xr3:uid="{00000000-0010-0000-0000-00000A000000}" name="Jak často pracujete na dálku?" dataDxfId="27">
      <extLst>
        <ext xmlns:xlmsforms="http://schemas.microsoft.com/office/spreadsheetml/2023/msForms" uri="{FCC71383-01E1-4257-9335-427F07BE8D7F}">
          <xlmsforms:question id="rb5d645b4cae9413aa1dd60955fa4976a"/>
        </ext>
      </extLst>
    </tableColumn>
    <tableColumn id="11" xr3:uid="{00000000-0010-0000-0000-00000B000000}" name="Jak hodnotíte svou produktivitu při práci na dálku ve srovnání s prací v kanceláři?" dataDxfId="26">
      <extLst>
        <ext xmlns:xlmsforms="http://schemas.microsoft.com/office/spreadsheetml/2023/msForms" uri="{FCC71383-01E1-4257-9335-427F07BE8D7F}">
          <xlmsforms:question id="r3131fcb31c0e40f196c0a8dfffec2694"/>
        </ext>
      </extLst>
    </tableColumn>
    <tableColumn id="12" xr3:uid="{00000000-0010-0000-0000-00000C000000}" name="Co vás nejvíce podporuje v udržení produktivity při práci na dálku?" dataDxfId="25">
      <extLst>
        <ext xmlns:xlmsforms="http://schemas.microsoft.com/office/spreadsheetml/2023/msForms" uri="{FCC71383-01E1-4257-9335-427F07BE8D7F}">
          <xlmsforms:question id="r0b6f0d383a5b483c9ff0912dd2f0129f"/>
        </ext>
      </extLst>
    </tableColumn>
    <tableColumn id="13" xr3:uid="{00000000-0010-0000-0000-00000D000000}" name="Jaké překážky nejvíce ovlivňují Vaši produktivitu při práci na dálku?" dataDxfId="24">
      <extLst>
        <ext xmlns:xlmsforms="http://schemas.microsoft.com/office/spreadsheetml/2023/msForms" uri="{FCC71383-01E1-4257-9335-427F07BE8D7F}">
          <xlmsforms:question id="rb52dc15cf0594660bebfc170436d86bc"/>
        </ext>
      </extLst>
    </tableColumn>
    <tableColumn id="14" xr3:uid="{00000000-0010-0000-0000-00000E000000}" name="Jak hodnotíte efektivitu komunikace s kolegy při práci na dálku?" dataDxfId="23">
      <extLst>
        <ext xmlns:xlmsforms="http://schemas.microsoft.com/office/spreadsheetml/2023/msForms" uri="{FCC71383-01E1-4257-9335-427F07BE8D7F}">
          <xlmsforms:question id="r151e741948554431abd76673b59ba6e0"/>
        </ext>
      </extLst>
    </tableColumn>
    <tableColumn id="15" xr3:uid="{00000000-0010-0000-0000-00000F000000}" name="Jaké nástroje nejčastěji používáte pro komunikaci při práci na dálku? (vyberte všechny relevantní odpovědi)" dataDxfId="22">
      <extLst>
        <ext xmlns:xlmsforms="http://schemas.microsoft.com/office/spreadsheetml/2023/msForms" uri="{FCC71383-01E1-4257-9335-427F07BE8D7F}">
          <xlmsforms:question id="ra345f6095a5447c789fe776c50f83bdc"/>
        </ext>
      </extLst>
    </tableColumn>
    <tableColumn id="16" xr3:uid="{00000000-0010-0000-0000-000010000000}" name="Jaký je podle Vás hlavní problém při komunikaci na dálku?" dataDxfId="21">
      <extLst>
        <ext xmlns:xlmsforms="http://schemas.microsoft.com/office/spreadsheetml/2023/msForms" uri="{FCC71383-01E1-4257-9335-427F07BE8D7F}">
          <xlmsforms:question id="r059c79739a2944e6bd7c18f385137489"/>
        </ext>
      </extLst>
    </tableColumn>
    <tableColumn id="17" xr3:uid="{00000000-0010-0000-0000-000011000000}" name=" Jak často pracujete v kanceláři?" dataDxfId="20">
      <extLst>
        <ext xmlns:xlmsforms="http://schemas.microsoft.com/office/spreadsheetml/2023/msForms" uri="{FCC71383-01E1-4257-9335-427F07BE8D7F}">
          <xlmsforms:question id="r24ea0155af57445d92e110e7db3c242c"/>
        </ext>
      </extLst>
    </tableColumn>
    <tableColumn id="18" xr3:uid="{00000000-0010-0000-0000-000012000000}" name="Jak hodnotíte svou produktivitu při práci v kanceláři?" dataDxfId="19">
      <extLst>
        <ext xmlns:xlmsforms="http://schemas.microsoft.com/office/spreadsheetml/2023/msForms" uri="{FCC71383-01E1-4257-9335-427F07BE8D7F}">
          <xlmsforms:question id="r5c426ccda8784545b84fb00f21f5998f"/>
        </ext>
      </extLst>
    </tableColumn>
    <tableColumn id="19" xr3:uid="{00000000-0010-0000-0000-000013000000}" name=" Jaké faktory Vám v kanceláři nejvíce pomáhají být produktivní?" dataDxfId="18">
      <extLst>
        <ext xmlns:xlmsforms="http://schemas.microsoft.com/office/spreadsheetml/2023/msForms" uri="{FCC71383-01E1-4257-9335-427F07BE8D7F}">
          <xlmsforms:question id="r41597497b0b342c1b3da5ae7de2116bf"/>
        </ext>
      </extLst>
    </tableColumn>
    <tableColumn id="20" xr3:uid="{00000000-0010-0000-0000-000014000000}" name="Jaké překážky nejvíce ovlivňují Vaši produktivitu při práci v kanceláři?_x000a_" dataDxfId="17">
      <extLst>
        <ext xmlns:xlmsforms="http://schemas.microsoft.com/office/spreadsheetml/2023/msForms" uri="{FCC71383-01E1-4257-9335-427F07BE8D7F}">
          <xlmsforms:question id="re3d5016bc86c4698893a1e54c687c1b0"/>
        </ext>
      </extLst>
    </tableColumn>
    <tableColumn id="21" xr3:uid="{00000000-0010-0000-0000-000015000000}" name="Jak hodnotíte efektivitu komunikace s kolegy v kanceláři?_x000a_" dataDxfId="16">
      <extLst>
        <ext xmlns:xlmsforms="http://schemas.microsoft.com/office/spreadsheetml/2023/msForms" uri="{FCC71383-01E1-4257-9335-427F07BE8D7F}">
          <xlmsforms:question id="rdbaaea2c8337465ebb52b992a5d72242"/>
        </ext>
      </extLst>
    </tableColumn>
    <tableColumn id="22" xr3:uid="{00000000-0010-0000-0000-000016000000}" name="Ve kterém prostředí cítíte větší motivaci k práci?" dataDxfId="15">
      <extLst>
        <ext xmlns:xlmsforms="http://schemas.microsoft.com/office/spreadsheetml/2023/msForms" uri="{FCC71383-01E1-4257-9335-427F07BE8D7F}">
          <xlmsforms:question id="r0a935d7a84234ed582a91e299debe2ac"/>
        </ext>
      </extLst>
    </tableColumn>
    <tableColumn id="23" xr3:uid="{00000000-0010-0000-0000-000017000000}" name="Jaké faktory Vás nejvíce motivují při práci v obou prostředích?" dataDxfId="14">
      <extLst>
        <ext xmlns:xlmsforms="http://schemas.microsoft.com/office/spreadsheetml/2023/msForms" uri="{FCC71383-01E1-4257-9335-427F07BE8D7F}">
          <xlmsforms:question id="rd1ec2526a44f4c99b2fa8a4e245a3e30"/>
        </ext>
      </extLst>
    </tableColumn>
    <tableColumn id="32" xr3:uid="{993C96F6-88CA-4499-9194-389F48EE675F}" name="Jaké faktory Vás nejvíce motivují při práci v kanceláři?" dataDxfId="13">
      <extLst>
        <ext xmlns:xlmsforms="http://schemas.microsoft.com/office/spreadsheetml/2023/msForms" uri="{FCC71383-01E1-4257-9335-427F07BE8D7F}">
          <xlmsforms:question id="r24080277fe19433db8de87a7e4690b8c"/>
        </ext>
      </extLst>
    </tableColumn>
    <tableColumn id="24" xr3:uid="{00000000-0010-0000-0000-000018000000}" name="Jak hodnotíte rovnováhu mezi pracovním a osobním životem v obou prostředích?" dataDxfId="12">
      <extLst>
        <ext xmlns:xlmsforms="http://schemas.microsoft.com/office/spreadsheetml/2023/msForms" uri="{FCC71383-01E1-4257-9335-427F07BE8D7F}">
          <xlmsforms:question id="rcbf17996383e4ceda574c066f2668315"/>
        </ext>
      </extLst>
    </tableColumn>
    <tableColumn id="33" xr3:uid="{D3528BDA-503D-436B-AC33-7E5A8EAD47F1}" name="Jak hodnotíte rovnováhu mezi pracovním a osobním životem při práci v kanceláři?" dataDxfId="11">
      <extLst>
        <ext xmlns:xlmsforms="http://schemas.microsoft.com/office/spreadsheetml/2023/msForms" uri="{FCC71383-01E1-4257-9335-427F07BE8D7F}">
          <xlmsforms:question id="r5df806b6c1c440be8c62938e50a89ef7"/>
        </ext>
      </extLst>
    </tableColumn>
    <tableColumn id="25" xr3:uid="{00000000-0010-0000-0000-000019000000}" name="Máte při práci na dálku nebo v kanceláři větší stres?_x000a_" dataDxfId="10">
      <extLst>
        <ext xmlns:xlmsforms="http://schemas.microsoft.com/office/spreadsheetml/2023/msForms" uri="{FCC71383-01E1-4257-9335-427F07BE8D7F}">
          <xlmsforms:question id="r9596320f76b64c36a232f4d37be4dd99"/>
        </ext>
      </extLst>
    </tableColumn>
    <tableColumn id="26" xr3:uid="{00000000-0010-0000-0000-00001A000000}" name="Jak byste hodnotili celkový vliv obou prostředí na kvalitu Vašeho pracovního života?" dataDxfId="9">
      <extLst>
        <ext xmlns:xlmsforms="http://schemas.microsoft.com/office/spreadsheetml/2023/msForms" uri="{FCC71383-01E1-4257-9335-427F07BE8D7F}">
          <xlmsforms:question id="r47bfd1180c5e4d62a677ee8ce2580be6"/>
        </ext>
      </extLst>
    </tableColumn>
    <tableColumn id="34" xr3:uid="{66977EF9-1F8F-4D5A-B3B0-F8B5DA66FDA5}" name="Považujete se spíše za introverta nebo extroverta?" dataDxfId="8">
      <extLst>
        <ext xmlns:xlmsforms="http://schemas.microsoft.com/office/spreadsheetml/2023/msForms" uri="{FCC71383-01E1-4257-9335-427F07BE8D7F}">
          <xlmsforms:question id="rd2fa8f3fb5c0420f9f948b6669b8a434"/>
        </ext>
      </extLst>
    </tableColumn>
    <tableColumn id="35" xr3:uid="{EE33C134-1F2C-49EF-9BCD-CD215BECB356}" name="Jak byste popsali svůj přístup k ostatním lidem?" dataDxfId="7">
      <extLst>
        <ext xmlns:xlmsforms="http://schemas.microsoft.com/office/spreadsheetml/2023/msForms" uri="{FCC71383-01E1-4257-9335-427F07BE8D7F}">
          <xlmsforms:question id="r5de9c1c695354f12b7deee09b7e7e811"/>
        </ext>
      </extLst>
    </tableColumn>
    <tableColumn id="36" xr3:uid="{C6E31681-3E12-4454-A4C1-1D64EDCDB082}" name="Jak byste hodnotili svůj přístup k povinnostem a organizaci práce?" dataDxfId="6">
      <extLst>
        <ext xmlns:xlmsforms="http://schemas.microsoft.com/office/spreadsheetml/2023/msForms" uri="{FCC71383-01E1-4257-9335-427F07BE8D7F}">
          <xlmsforms:question id="r5b2132ba06414d449adf1bf94bb2672f"/>
        </ext>
      </extLst>
    </tableColumn>
    <tableColumn id="37" xr3:uid="{3306804F-A849-4849-8AF2-456556022928}" name="Jak obvykle reagujete na stresové situace?" dataDxfId="5">
      <extLst>
        <ext xmlns:xlmsforms="http://schemas.microsoft.com/office/spreadsheetml/2023/msForms" uri="{FCC71383-01E1-4257-9335-427F07BE8D7F}">
          <xlmsforms:question id="rbe06260138ae42599cf85ed7adf2f5f8"/>
        </ext>
      </extLst>
    </tableColumn>
    <tableColumn id="38" xr3:uid="{8EA11C06-01BC-4BA3-9881-A886EEABB2A1}" name="Jak se stavíte k novým myšlenkám a zkušenostem?" dataDxfId="4">
      <extLst>
        <ext xmlns:xlmsforms="http://schemas.microsoft.com/office/spreadsheetml/2023/msForms" uri="{FCC71383-01E1-4257-9335-427F07BE8D7F}">
          <xlmsforms:question id="r49bddcf7e6de488aaed9bc152c2b3819"/>
        </ext>
      </extLst>
    </tableColumn>
    <tableColumn id="39" xr3:uid="{320C9662-00F7-4F34-BB69-CE4468976010}" name="Jaký typ úkolů Vás nejvíce motivuje?" dataDxfId="3">
      <extLst>
        <ext xmlns:xlmsforms="http://schemas.microsoft.com/office/spreadsheetml/2023/msForms" uri="{FCC71383-01E1-4257-9335-427F07BE8D7F}">
          <xlmsforms:question id="r52c621e0641b49fd945377649c9aa35f"/>
        </ext>
      </extLst>
    </tableColumn>
    <tableColumn id="27" xr3:uid="{00000000-0010-0000-0000-00001B000000}" name=" Jaké změny by podle Vás mohly zlepšit práci na dálku ve Vašem týmu nebo organizaci?" dataDxfId="2">
      <extLst>
        <ext xmlns:xlmsforms="http://schemas.microsoft.com/office/spreadsheetml/2023/msForms" uri="{FCC71383-01E1-4257-9335-427F07BE8D7F}">
          <xlmsforms:question id="r58f67c2e7c5d43dcbae993f2627a46d6"/>
        </ext>
      </extLst>
    </tableColumn>
    <tableColumn id="28" xr3:uid="{00000000-0010-0000-0000-00001C000000}" name="Jaké změny by podle Vás mohly zlepšit práci v kanceláři ve Vašem týmu nebo organizaci?_x000a_" dataDxfId="1">
      <extLst>
        <ext xmlns:xlmsforms="http://schemas.microsoft.com/office/spreadsheetml/2023/msForms" uri="{FCC71383-01E1-4257-9335-427F07BE8D7F}">
          <xlmsforms:question id="r133e0afa10b040609a4c4b24ee3d4488"/>
        </ext>
      </extLst>
    </tableColumn>
    <tableColumn id="29" xr3:uid="{00000000-0010-0000-0000-00001D000000}" name=" Jaké aktivity nebo metody by mohly podpořit týmovou soudržnost bez ohledu na prostředí?_x000a_" dataDxfId="0">
      <extLst>
        <ext xmlns:xlmsforms="http://schemas.microsoft.com/office/spreadsheetml/2023/msForms" uri="{FCC71383-01E1-4257-9335-427F07BE8D7F}">
          <xlmsforms:question id="rdd7fa82787734cbba132af06f447cdbc"/>
        </ext>
      </extLst>
    </tableColumn>
  </tableColumns>
  <tableStyleInfo name="TableStyleMedium2" showFirstColumn="0" showLastColumn="0" showRowStripes="1" showColumnStripes="0"/>
  <extLst>
    <ext xmlns:xlmsforms="http://schemas.microsoft.com/office/spreadsheetml/2023/msForms" uri="{839C7E11-91E4-4DBD-9C5D-0DEA604FA9AC}">
      <xlmsforms:msForm id="tAviCnY6L0ykJOcTgjkxwG7J3EwVANhLiTfAS4_SiPpUN0FMQ1g2Q1IwT1FTOTRSTkVTQjZIM05JRi4u" maxResponseId="50" latestEventMarker="57">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submitLanguage</xlmsforms:syncedQuestionId>
        <xlmsforms:syncedQuestionId>re017a6b1fe9d4ca4af1db7f56ba763ef</xlmsforms:syncedQuestionId>
        <xlmsforms:syncedQuestionId>r5e74d96c90e9420a81d5b3801e9662dc</xlmsforms:syncedQuestionId>
        <xlmsforms:syncedQuestionId>r0889f069538245539dc845d1a355403b</xlmsforms:syncedQuestionId>
        <xlmsforms:syncedQuestionId>rb5d645b4cae9413aa1dd60955fa4976a</xlmsforms:syncedQuestionId>
        <xlmsforms:syncedQuestionId>r3131fcb31c0e40f196c0a8dfffec2694</xlmsforms:syncedQuestionId>
        <xlmsforms:syncedQuestionId>r0b6f0d383a5b483c9ff0912dd2f0129f</xlmsforms:syncedQuestionId>
        <xlmsforms:syncedQuestionId>rb52dc15cf0594660bebfc170436d86bc</xlmsforms:syncedQuestionId>
        <xlmsforms:syncedQuestionId>r151e741948554431abd76673b59ba6e0</xlmsforms:syncedQuestionId>
        <xlmsforms:syncedQuestionId>ra345f6095a5447c789fe776c50f83bdc</xlmsforms:syncedQuestionId>
        <xlmsforms:syncedQuestionId>r059c79739a2944e6bd7c18f385137489</xlmsforms:syncedQuestionId>
        <xlmsforms:syncedQuestionId>r24ea0155af57445d92e110e7db3c242c</xlmsforms:syncedQuestionId>
        <xlmsforms:syncedQuestionId>r5c426ccda8784545b84fb00f21f5998f</xlmsforms:syncedQuestionId>
        <xlmsforms:syncedQuestionId>r41597497b0b342c1b3da5ae7de2116bf</xlmsforms:syncedQuestionId>
        <xlmsforms:syncedQuestionId>re3d5016bc86c4698893a1e54c687c1b0</xlmsforms:syncedQuestionId>
        <xlmsforms:syncedQuestionId>rdbaaea2c8337465ebb52b992a5d72242</xlmsforms:syncedQuestionId>
        <xlmsforms:syncedQuestionId>r0a935d7a84234ed582a91e299debe2ac</xlmsforms:syncedQuestionId>
        <xlmsforms:syncedQuestionId>rd1ec2526a44f4c99b2fa8a4e245a3e30</xlmsforms:syncedQuestionId>
        <xlmsforms:syncedQuestionId>rcbf17996383e4ceda574c066f2668315</xlmsforms:syncedQuestionId>
        <xlmsforms:syncedQuestionId>r9596320f76b64c36a232f4d37be4dd99</xlmsforms:syncedQuestionId>
        <xlmsforms:syncedQuestionId>r47bfd1180c5e4d62a677ee8ce2580be6</xlmsforms:syncedQuestionId>
        <xlmsforms:syncedQuestionId>r58f67c2e7c5d43dcbae993f2627a46d6</xlmsforms:syncedQuestionId>
        <xlmsforms:syncedQuestionId>r133e0afa10b040609a4c4b24ee3d4488</xlmsforms:syncedQuestionId>
        <xlmsforms:syncedQuestionId>rdd7fa82787734cbba132af06f447cdbc</xlmsforms:syncedQuestionId>
        <xlmsforms:syncedQuestionId>r48b4f690ca3c4bd0957755fad7c1dd92</xlmsforms:syncedQuestionId>
        <xlmsforms:syncedQuestionId>r1712483fbdc749b1b633070463b18aaa</xlmsforms:syncedQuestionId>
        <xlmsforms:syncedQuestionId>r24080277fe19433db8de87a7e4690b8c</xlmsforms:syncedQuestionId>
        <xlmsforms:syncedQuestionId>r5df806b6c1c440be8c62938e50a89ef7</xlmsforms:syncedQuestionId>
        <xlmsforms:syncedQuestionId>rd2fa8f3fb5c0420f9f948b6669b8a434</xlmsforms:syncedQuestionId>
        <xlmsforms:syncedQuestionId>r5de9c1c695354f12b7deee09b7e7e811</xlmsforms:syncedQuestionId>
        <xlmsforms:syncedQuestionId>r5b2132ba06414d449adf1bf94bb2672f</xlmsforms:syncedQuestionId>
        <xlmsforms:syncedQuestionId>rbe06260138ae42599cf85ed7adf2f5f8</xlmsforms:syncedQuestionId>
        <xlmsforms:syncedQuestionId>r49bddcf7e6de488aaed9bc152c2b3819</xlmsforms:syncedQuestionId>
        <xlmsforms:syncedQuestionId>r52c621e0641b49fd945377649c9aa35f</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1"/>
  <sheetViews>
    <sheetView topLeftCell="AF1" workbookViewId="0">
      <selection activeCell="S1" sqref="S1"/>
    </sheetView>
  </sheetViews>
  <sheetFormatPr defaultRowHeight="15"/>
  <cols>
    <col min="1" max="9" width="20" bestFit="1" customWidth="1"/>
    <col min="10" max="11" width="19" customWidth="1"/>
    <col min="12" max="25" width="20" bestFit="1" customWidth="1"/>
    <col min="26" max="26" width="19" customWidth="1"/>
    <col min="27" max="27" width="20" bestFit="1" customWidth="1"/>
    <col min="28" max="28" width="19" customWidth="1"/>
    <col min="29" max="29" width="20" bestFit="1" customWidth="1"/>
    <col min="31" max="36" width="19" customWidth="1"/>
    <col min="37" max="37" width="86.7109375" customWidth="1"/>
    <col min="38" max="38" width="59.7109375" customWidth="1"/>
    <col min="39" max="39" width="107" customWidth="1"/>
  </cols>
  <sheetData>
    <row r="1" spans="1:39">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21.75" customHeight="1">
      <c r="A2">
        <v>1</v>
      </c>
      <c r="B2" s="1">
        <v>45633.576898148145</v>
      </c>
      <c r="C2" s="1">
        <v>45633.587314814817</v>
      </c>
      <c r="D2" t="s">
        <v>39</v>
      </c>
      <c r="F2" t="s">
        <v>40</v>
      </c>
      <c r="G2" t="s">
        <v>41</v>
      </c>
      <c r="H2" t="s">
        <v>42</v>
      </c>
      <c r="I2" t="s">
        <v>43</v>
      </c>
      <c r="L2" t="s">
        <v>44</v>
      </c>
      <c r="M2" t="s">
        <v>45</v>
      </c>
      <c r="N2" t="s">
        <v>46</v>
      </c>
      <c r="O2" t="s">
        <v>47</v>
      </c>
      <c r="P2" t="s">
        <v>48</v>
      </c>
      <c r="Q2" t="s">
        <v>49</v>
      </c>
      <c r="R2" t="s">
        <v>50</v>
      </c>
      <c r="S2" t="s">
        <v>51</v>
      </c>
      <c r="T2" t="s">
        <v>52</v>
      </c>
      <c r="U2" t="s">
        <v>53</v>
      </c>
      <c r="V2" t="s">
        <v>54</v>
      </c>
      <c r="W2" t="s">
        <v>55</v>
      </c>
      <c r="X2" t="s">
        <v>56</v>
      </c>
      <c r="Y2" t="s">
        <v>57</v>
      </c>
      <c r="AA2" t="s">
        <v>58</v>
      </c>
      <c r="AC2" t="s">
        <v>59</v>
      </c>
      <c r="AD2" t="s">
        <v>60</v>
      </c>
      <c r="AK2" t="s">
        <v>61</v>
      </c>
      <c r="AL2" t="s">
        <v>62</v>
      </c>
      <c r="AM2" t="s">
        <v>63</v>
      </c>
    </row>
    <row r="3" spans="1:39">
      <c r="A3">
        <v>2</v>
      </c>
      <c r="B3" s="1">
        <v>45757.437974537002</v>
      </c>
      <c r="C3" s="1">
        <v>45757.441747685203</v>
      </c>
      <c r="D3" s="2" t="s">
        <v>64</v>
      </c>
      <c r="E3" s="2"/>
      <c r="F3" s="2" t="s">
        <v>40</v>
      </c>
      <c r="G3" s="2" t="s">
        <v>65</v>
      </c>
      <c r="H3" s="2" t="s">
        <v>66</v>
      </c>
      <c r="I3" s="2" t="s">
        <v>67</v>
      </c>
      <c r="J3" t="s">
        <v>68</v>
      </c>
      <c r="K3" t="s">
        <v>69</v>
      </c>
      <c r="L3" s="2" t="s">
        <v>70</v>
      </c>
      <c r="M3" s="2" t="s">
        <v>71</v>
      </c>
      <c r="N3" s="2" t="s">
        <v>72</v>
      </c>
      <c r="O3" s="2" t="s">
        <v>73</v>
      </c>
      <c r="P3" s="2" t="s">
        <v>55</v>
      </c>
      <c r="Q3" s="2" t="s">
        <v>74</v>
      </c>
      <c r="R3" s="2" t="s">
        <v>75</v>
      </c>
      <c r="S3" s="2" t="s">
        <v>70</v>
      </c>
      <c r="T3" s="2" t="s">
        <v>71</v>
      </c>
      <c r="U3" s="2" t="s">
        <v>76</v>
      </c>
      <c r="V3" s="2" t="s">
        <v>77</v>
      </c>
      <c r="W3" s="2" t="s">
        <v>55</v>
      </c>
      <c r="X3" s="2" t="s">
        <v>56</v>
      </c>
      <c r="Y3" s="2" t="s">
        <v>78</v>
      </c>
      <c r="Z3" t="s">
        <v>79</v>
      </c>
      <c r="AA3" s="2" t="s">
        <v>55</v>
      </c>
      <c r="AB3" t="s">
        <v>55</v>
      </c>
      <c r="AC3" s="2" t="s">
        <v>59</v>
      </c>
      <c r="AD3" s="2" t="s">
        <v>60</v>
      </c>
      <c r="AE3" t="s">
        <v>80</v>
      </c>
      <c r="AF3" t="s">
        <v>81</v>
      </c>
      <c r="AG3" t="s">
        <v>80</v>
      </c>
      <c r="AH3" t="s">
        <v>80</v>
      </c>
      <c r="AI3" t="s">
        <v>82</v>
      </c>
      <c r="AJ3" t="s">
        <v>83</v>
      </c>
      <c r="AK3" s="2" t="s">
        <v>84</v>
      </c>
      <c r="AL3" s="2" t="s">
        <v>85</v>
      </c>
      <c r="AM3" s="2" t="s">
        <v>86</v>
      </c>
    </row>
    <row r="4" spans="1:39">
      <c r="A4">
        <v>3</v>
      </c>
      <c r="B4" s="1">
        <v>45757.440219907403</v>
      </c>
      <c r="C4" s="1">
        <v>45757.445208333302</v>
      </c>
      <c r="D4" s="2" t="s">
        <v>64</v>
      </c>
      <c r="E4" s="2"/>
      <c r="F4" s="2" t="s">
        <v>40</v>
      </c>
      <c r="G4" s="2" t="s">
        <v>87</v>
      </c>
      <c r="H4" s="2" t="s">
        <v>88</v>
      </c>
      <c r="I4" s="2" t="s">
        <v>89</v>
      </c>
      <c r="J4" t="s">
        <v>90</v>
      </c>
      <c r="K4" t="s">
        <v>91</v>
      </c>
      <c r="L4" s="2" t="s">
        <v>92</v>
      </c>
      <c r="M4" s="2" t="s">
        <v>93</v>
      </c>
      <c r="N4" s="2" t="s">
        <v>94</v>
      </c>
      <c r="O4" s="2" t="s">
        <v>95</v>
      </c>
      <c r="P4" s="2" t="s">
        <v>55</v>
      </c>
      <c r="Q4" s="2" t="s">
        <v>74</v>
      </c>
      <c r="R4" s="2" t="s">
        <v>96</v>
      </c>
      <c r="S4" s="2" t="s">
        <v>92</v>
      </c>
      <c r="T4" s="2" t="s">
        <v>45</v>
      </c>
      <c r="U4" s="2" t="s">
        <v>97</v>
      </c>
      <c r="V4" s="2" t="s">
        <v>98</v>
      </c>
      <c r="W4" s="2" t="s">
        <v>99</v>
      </c>
      <c r="X4" s="2" t="s">
        <v>100</v>
      </c>
      <c r="Y4" s="2" t="s">
        <v>101</v>
      </c>
      <c r="Z4" t="s">
        <v>102</v>
      </c>
      <c r="AA4" s="2" t="s">
        <v>55</v>
      </c>
      <c r="AB4" t="s">
        <v>103</v>
      </c>
      <c r="AC4" s="2" t="s">
        <v>104</v>
      </c>
      <c r="AD4" s="2" t="s">
        <v>105</v>
      </c>
      <c r="AE4" t="s">
        <v>106</v>
      </c>
      <c r="AF4" t="s">
        <v>81</v>
      </c>
      <c r="AG4" t="s">
        <v>107</v>
      </c>
      <c r="AH4" t="s">
        <v>108</v>
      </c>
      <c r="AI4" t="s">
        <v>109</v>
      </c>
      <c r="AJ4" t="s">
        <v>110</v>
      </c>
      <c r="AK4" s="2" t="s">
        <v>111</v>
      </c>
      <c r="AL4" s="2"/>
      <c r="AM4" s="2" t="s">
        <v>112</v>
      </c>
    </row>
    <row r="5" spans="1:39">
      <c r="A5">
        <v>4</v>
      </c>
      <c r="B5" s="1">
        <v>45757.445775462998</v>
      </c>
      <c r="C5" s="1">
        <v>45757.4515972222</v>
      </c>
      <c r="D5" s="2" t="s">
        <v>64</v>
      </c>
      <c r="E5" s="2"/>
      <c r="F5" s="2" t="s">
        <v>40</v>
      </c>
      <c r="G5" s="2" t="s">
        <v>113</v>
      </c>
      <c r="H5" s="2" t="s">
        <v>88</v>
      </c>
      <c r="I5" s="2" t="s">
        <v>89</v>
      </c>
      <c r="J5" t="s">
        <v>68</v>
      </c>
      <c r="K5" t="s">
        <v>91</v>
      </c>
      <c r="L5" s="2" t="s">
        <v>70</v>
      </c>
      <c r="M5" s="2" t="s">
        <v>114</v>
      </c>
      <c r="N5" s="2" t="s">
        <v>115</v>
      </c>
      <c r="O5" s="2" t="s">
        <v>116</v>
      </c>
      <c r="P5" s="2" t="s">
        <v>48</v>
      </c>
      <c r="Q5" s="2" t="s">
        <v>74</v>
      </c>
      <c r="R5" s="2" t="s">
        <v>75</v>
      </c>
      <c r="S5" s="2" t="s">
        <v>70</v>
      </c>
      <c r="T5" s="2" t="s">
        <v>52</v>
      </c>
      <c r="U5" s="2" t="s">
        <v>117</v>
      </c>
      <c r="V5" s="2" t="s">
        <v>118</v>
      </c>
      <c r="W5" s="2" t="s">
        <v>48</v>
      </c>
      <c r="X5" s="2" t="s">
        <v>56</v>
      </c>
      <c r="Y5" s="2" t="s">
        <v>119</v>
      </c>
      <c r="Z5" t="s">
        <v>120</v>
      </c>
      <c r="AA5" s="2" t="s">
        <v>58</v>
      </c>
      <c r="AB5" t="s">
        <v>121</v>
      </c>
      <c r="AC5" s="2" t="s">
        <v>59</v>
      </c>
      <c r="AD5" s="2" t="s">
        <v>60</v>
      </c>
      <c r="AE5" t="s">
        <v>122</v>
      </c>
      <c r="AF5" t="s">
        <v>81</v>
      </c>
      <c r="AG5" t="s">
        <v>80</v>
      </c>
      <c r="AH5" t="s">
        <v>123</v>
      </c>
      <c r="AI5" t="s">
        <v>109</v>
      </c>
      <c r="AJ5" t="s">
        <v>110</v>
      </c>
      <c r="AK5" s="2"/>
      <c r="AL5" s="2" t="s">
        <v>124</v>
      </c>
      <c r="AM5" s="2"/>
    </row>
    <row r="6" spans="1:39">
      <c r="A6">
        <v>5</v>
      </c>
      <c r="B6" s="1">
        <v>45757.448067129597</v>
      </c>
      <c r="C6" s="1">
        <v>45757.452060185198</v>
      </c>
      <c r="D6" s="2" t="s">
        <v>64</v>
      </c>
      <c r="E6" s="2"/>
      <c r="F6" s="2" t="s">
        <v>40</v>
      </c>
      <c r="G6" s="2" t="s">
        <v>125</v>
      </c>
      <c r="H6" s="2" t="s">
        <v>42</v>
      </c>
      <c r="I6" s="2" t="s">
        <v>89</v>
      </c>
      <c r="J6" t="s">
        <v>126</v>
      </c>
      <c r="K6" t="s">
        <v>91</v>
      </c>
      <c r="L6" s="2" t="s">
        <v>92</v>
      </c>
      <c r="M6" s="2" t="s">
        <v>71</v>
      </c>
      <c r="N6" s="2" t="s">
        <v>127</v>
      </c>
      <c r="O6" s="2" t="s">
        <v>128</v>
      </c>
      <c r="P6" s="2" t="s">
        <v>129</v>
      </c>
      <c r="Q6" s="2" t="s">
        <v>74</v>
      </c>
      <c r="R6" s="2" t="s">
        <v>130</v>
      </c>
      <c r="S6" s="2" t="s">
        <v>92</v>
      </c>
      <c r="T6" s="2" t="s">
        <v>71</v>
      </c>
      <c r="U6" s="2" t="s">
        <v>117</v>
      </c>
      <c r="V6" s="2" t="s">
        <v>77</v>
      </c>
      <c r="W6" s="2" t="s">
        <v>48</v>
      </c>
      <c r="X6" s="2" t="s">
        <v>131</v>
      </c>
      <c r="Y6" s="2" t="s">
        <v>132</v>
      </c>
      <c r="Z6" t="s">
        <v>133</v>
      </c>
      <c r="AA6" s="2" t="s">
        <v>103</v>
      </c>
      <c r="AB6" t="s">
        <v>103</v>
      </c>
      <c r="AC6" s="2" t="s">
        <v>134</v>
      </c>
      <c r="AD6" s="2" t="s">
        <v>135</v>
      </c>
      <c r="AE6" t="s">
        <v>80</v>
      </c>
      <c r="AF6" t="s">
        <v>81</v>
      </c>
      <c r="AG6" t="s">
        <v>136</v>
      </c>
      <c r="AH6" t="s">
        <v>108</v>
      </c>
      <c r="AI6" t="s">
        <v>109</v>
      </c>
      <c r="AJ6" t="s">
        <v>110</v>
      </c>
      <c r="AK6" s="2" t="s">
        <v>137</v>
      </c>
      <c r="AL6" s="2" t="s">
        <v>138</v>
      </c>
      <c r="AM6" s="2" t="s">
        <v>139</v>
      </c>
    </row>
    <row r="7" spans="1:39">
      <c r="A7">
        <v>6</v>
      </c>
      <c r="B7" s="1">
        <v>45757.444490740701</v>
      </c>
      <c r="C7" s="1">
        <v>45757.476736111101</v>
      </c>
      <c r="D7" s="2" t="s">
        <v>64</v>
      </c>
      <c r="E7" s="2"/>
      <c r="F7" s="2" t="s">
        <v>140</v>
      </c>
      <c r="G7" s="2" t="s">
        <v>141</v>
      </c>
      <c r="H7" s="2" t="s">
        <v>42</v>
      </c>
      <c r="I7" s="2" t="s">
        <v>89</v>
      </c>
      <c r="J7" t="s">
        <v>68</v>
      </c>
      <c r="K7" t="s">
        <v>142</v>
      </c>
      <c r="L7" s="2" t="s">
        <v>70</v>
      </c>
      <c r="M7" s="2" t="s">
        <v>45</v>
      </c>
      <c r="N7" s="2" t="s">
        <v>127</v>
      </c>
      <c r="O7" s="2" t="s">
        <v>143</v>
      </c>
      <c r="P7" s="2" t="s">
        <v>144</v>
      </c>
      <c r="Q7" s="2" t="s">
        <v>74</v>
      </c>
      <c r="R7" s="2" t="s">
        <v>145</v>
      </c>
      <c r="S7" s="2" t="s">
        <v>70</v>
      </c>
      <c r="T7" s="2" t="s">
        <v>52</v>
      </c>
      <c r="U7" s="2" t="s">
        <v>146</v>
      </c>
      <c r="V7" s="2" t="s">
        <v>147</v>
      </c>
      <c r="W7" s="2" t="s">
        <v>99</v>
      </c>
      <c r="X7" s="2" t="s">
        <v>56</v>
      </c>
      <c r="Y7" s="2" t="s">
        <v>148</v>
      </c>
      <c r="Z7" t="s">
        <v>149</v>
      </c>
      <c r="AA7" s="2" t="s">
        <v>58</v>
      </c>
      <c r="AB7" t="s">
        <v>150</v>
      </c>
      <c r="AC7" s="2" t="s">
        <v>59</v>
      </c>
      <c r="AD7" s="2" t="s">
        <v>135</v>
      </c>
      <c r="AE7" t="s">
        <v>80</v>
      </c>
      <c r="AF7" t="s">
        <v>81</v>
      </c>
      <c r="AG7" t="s">
        <v>107</v>
      </c>
      <c r="AH7" t="s">
        <v>108</v>
      </c>
      <c r="AI7" t="s">
        <v>109</v>
      </c>
      <c r="AJ7" t="s">
        <v>110</v>
      </c>
      <c r="AK7" s="2" t="s">
        <v>151</v>
      </c>
      <c r="AL7" s="2" t="s">
        <v>152</v>
      </c>
      <c r="AM7" s="2" t="s">
        <v>153</v>
      </c>
    </row>
    <row r="8" spans="1:39">
      <c r="A8">
        <v>7</v>
      </c>
      <c r="B8" s="1">
        <v>45757.499131944402</v>
      </c>
      <c r="C8" s="1">
        <v>45757.503888888903</v>
      </c>
      <c r="D8" s="2" t="s">
        <v>64</v>
      </c>
      <c r="E8" s="2"/>
      <c r="F8" s="2" t="s">
        <v>40</v>
      </c>
      <c r="G8" s="2" t="s">
        <v>113</v>
      </c>
      <c r="H8" s="2" t="s">
        <v>154</v>
      </c>
      <c r="I8" s="2" t="s">
        <v>89</v>
      </c>
      <c r="J8" t="s">
        <v>68</v>
      </c>
      <c r="K8" t="s">
        <v>91</v>
      </c>
      <c r="L8" s="2" t="s">
        <v>70</v>
      </c>
      <c r="M8" s="2" t="s">
        <v>52</v>
      </c>
      <c r="N8" s="2" t="s">
        <v>155</v>
      </c>
      <c r="O8" s="2" t="s">
        <v>156</v>
      </c>
      <c r="P8" s="2" t="s">
        <v>144</v>
      </c>
      <c r="Q8" s="2" t="s">
        <v>74</v>
      </c>
      <c r="R8" s="2" t="s">
        <v>157</v>
      </c>
      <c r="S8" s="2" t="s">
        <v>70</v>
      </c>
      <c r="T8" s="2" t="s">
        <v>114</v>
      </c>
      <c r="U8" s="2" t="s">
        <v>158</v>
      </c>
      <c r="V8" s="2" t="s">
        <v>118</v>
      </c>
      <c r="W8" s="2" t="s">
        <v>99</v>
      </c>
      <c r="X8" s="2" t="s">
        <v>131</v>
      </c>
      <c r="Y8" s="2" t="s">
        <v>159</v>
      </c>
      <c r="Z8" t="s">
        <v>133</v>
      </c>
      <c r="AA8" s="2" t="s">
        <v>103</v>
      </c>
      <c r="AB8" t="s">
        <v>103</v>
      </c>
      <c r="AC8" s="2" t="s">
        <v>59</v>
      </c>
      <c r="AD8" s="2" t="s">
        <v>60</v>
      </c>
      <c r="AE8" t="s">
        <v>122</v>
      </c>
      <c r="AF8" t="s">
        <v>81</v>
      </c>
      <c r="AG8" t="s">
        <v>136</v>
      </c>
      <c r="AH8" t="s">
        <v>80</v>
      </c>
      <c r="AI8" t="s">
        <v>80</v>
      </c>
      <c r="AJ8" t="s">
        <v>83</v>
      </c>
      <c r="AK8" s="2" t="s">
        <v>160</v>
      </c>
      <c r="AL8" s="2" t="s">
        <v>161</v>
      </c>
      <c r="AM8" s="2" t="s">
        <v>162</v>
      </c>
    </row>
    <row r="9" spans="1:39">
      <c r="A9">
        <v>8</v>
      </c>
      <c r="B9" s="1">
        <v>45757.504687499997</v>
      </c>
      <c r="C9" s="1">
        <v>45757.5089351852</v>
      </c>
      <c r="D9" s="2" t="s">
        <v>64</v>
      </c>
      <c r="E9" s="2"/>
      <c r="F9" s="2" t="s">
        <v>40</v>
      </c>
      <c r="G9" s="2" t="s">
        <v>163</v>
      </c>
      <c r="H9" s="2" t="s">
        <v>88</v>
      </c>
      <c r="I9" s="2" t="s">
        <v>43</v>
      </c>
      <c r="J9" t="s">
        <v>90</v>
      </c>
      <c r="K9" t="s">
        <v>91</v>
      </c>
      <c r="L9" s="2" t="s">
        <v>44</v>
      </c>
      <c r="M9" s="2" t="s">
        <v>45</v>
      </c>
      <c r="N9" s="2" t="s">
        <v>164</v>
      </c>
      <c r="O9" s="2" t="s">
        <v>165</v>
      </c>
      <c r="P9" s="2" t="s">
        <v>55</v>
      </c>
      <c r="Q9" s="2" t="s">
        <v>166</v>
      </c>
      <c r="R9" s="2" t="s">
        <v>167</v>
      </c>
      <c r="S9" s="2" t="s">
        <v>44</v>
      </c>
      <c r="T9" s="2" t="s">
        <v>93</v>
      </c>
      <c r="U9" s="2" t="s">
        <v>168</v>
      </c>
      <c r="V9" s="2" t="s">
        <v>169</v>
      </c>
      <c r="W9" s="2" t="s">
        <v>55</v>
      </c>
      <c r="X9" s="2" t="s">
        <v>56</v>
      </c>
      <c r="Y9" s="2" t="s">
        <v>170</v>
      </c>
      <c r="Z9" t="s">
        <v>171</v>
      </c>
      <c r="AA9" s="2" t="s">
        <v>58</v>
      </c>
      <c r="AB9" t="s">
        <v>150</v>
      </c>
      <c r="AC9" s="2" t="s">
        <v>59</v>
      </c>
      <c r="AD9" s="2" t="s">
        <v>60</v>
      </c>
      <c r="AE9" t="s">
        <v>122</v>
      </c>
      <c r="AF9" t="s">
        <v>80</v>
      </c>
      <c r="AG9" t="s">
        <v>107</v>
      </c>
      <c r="AH9" t="s">
        <v>80</v>
      </c>
      <c r="AI9" t="s">
        <v>109</v>
      </c>
      <c r="AJ9" t="s">
        <v>83</v>
      </c>
      <c r="AK9" s="2" t="s">
        <v>172</v>
      </c>
      <c r="AL9" s="2" t="s">
        <v>171</v>
      </c>
      <c r="AM9" s="2" t="s">
        <v>173</v>
      </c>
    </row>
    <row r="10" spans="1:39">
      <c r="A10">
        <v>9</v>
      </c>
      <c r="B10" s="1">
        <v>45757.511064814797</v>
      </c>
      <c r="C10" s="1">
        <v>45757.518402777801</v>
      </c>
      <c r="D10" s="2" t="s">
        <v>64</v>
      </c>
      <c r="E10" s="2"/>
      <c r="F10" s="2" t="s">
        <v>40</v>
      </c>
      <c r="G10" s="2" t="s">
        <v>113</v>
      </c>
      <c r="H10" s="2" t="s">
        <v>88</v>
      </c>
      <c r="I10" s="2" t="s">
        <v>43</v>
      </c>
      <c r="J10" t="s">
        <v>126</v>
      </c>
      <c r="K10" t="s">
        <v>142</v>
      </c>
      <c r="L10" s="2" t="s">
        <v>92</v>
      </c>
      <c r="M10" s="2" t="s">
        <v>52</v>
      </c>
      <c r="N10" s="2" t="s">
        <v>164</v>
      </c>
      <c r="O10" s="2" t="s">
        <v>165</v>
      </c>
      <c r="P10" s="2" t="s">
        <v>144</v>
      </c>
      <c r="Q10" s="2" t="s">
        <v>174</v>
      </c>
      <c r="R10" s="2" t="s">
        <v>175</v>
      </c>
      <c r="S10" s="2" t="s">
        <v>92</v>
      </c>
      <c r="T10" s="2" t="s">
        <v>114</v>
      </c>
      <c r="U10" s="2" t="s">
        <v>117</v>
      </c>
      <c r="V10" s="2" t="s">
        <v>118</v>
      </c>
      <c r="W10" s="2" t="s">
        <v>48</v>
      </c>
      <c r="X10" s="2" t="s">
        <v>100</v>
      </c>
      <c r="Y10" s="2" t="s">
        <v>176</v>
      </c>
      <c r="Z10" t="s">
        <v>133</v>
      </c>
      <c r="AA10" s="2" t="s">
        <v>103</v>
      </c>
      <c r="AB10" t="s">
        <v>150</v>
      </c>
      <c r="AC10" s="2" t="s">
        <v>59</v>
      </c>
      <c r="AD10" s="2" t="s">
        <v>105</v>
      </c>
      <c r="AE10" t="s">
        <v>122</v>
      </c>
      <c r="AF10" t="s">
        <v>81</v>
      </c>
      <c r="AG10" t="s">
        <v>136</v>
      </c>
      <c r="AH10" t="s">
        <v>108</v>
      </c>
      <c r="AI10" t="s">
        <v>80</v>
      </c>
      <c r="AJ10" t="s">
        <v>83</v>
      </c>
      <c r="AK10" s="2" t="s">
        <v>177</v>
      </c>
      <c r="AL10" s="2" t="s">
        <v>178</v>
      </c>
      <c r="AM10" s="2" t="s">
        <v>179</v>
      </c>
    </row>
    <row r="11" spans="1:39">
      <c r="A11">
        <v>10</v>
      </c>
      <c r="B11" s="1">
        <v>45757.570081018501</v>
      </c>
      <c r="C11" s="1">
        <v>45757.573483796303</v>
      </c>
      <c r="D11" s="2" t="s">
        <v>64</v>
      </c>
      <c r="E11" s="2"/>
      <c r="F11" s="2" t="s">
        <v>140</v>
      </c>
      <c r="G11" s="2" t="s">
        <v>141</v>
      </c>
      <c r="H11" s="2" t="s">
        <v>42</v>
      </c>
      <c r="I11" s="2" t="s">
        <v>89</v>
      </c>
      <c r="J11" t="s">
        <v>68</v>
      </c>
      <c r="K11" t="s">
        <v>180</v>
      </c>
      <c r="L11" s="2" t="s">
        <v>70</v>
      </c>
      <c r="M11" s="2" t="s">
        <v>71</v>
      </c>
      <c r="N11" s="2" t="s">
        <v>181</v>
      </c>
      <c r="O11" s="2" t="s">
        <v>73</v>
      </c>
      <c r="P11" s="2" t="s">
        <v>48</v>
      </c>
      <c r="Q11" s="2" t="s">
        <v>182</v>
      </c>
      <c r="R11" s="2" t="s">
        <v>157</v>
      </c>
      <c r="S11" s="2" t="s">
        <v>70</v>
      </c>
      <c r="T11" s="2" t="s">
        <v>71</v>
      </c>
      <c r="U11" s="2" t="s">
        <v>183</v>
      </c>
      <c r="V11" s="2" t="s">
        <v>184</v>
      </c>
      <c r="W11" s="2" t="s">
        <v>48</v>
      </c>
      <c r="X11" s="2" t="s">
        <v>131</v>
      </c>
      <c r="Y11" s="2" t="s">
        <v>185</v>
      </c>
      <c r="Z11" t="s">
        <v>186</v>
      </c>
      <c r="AA11" s="2" t="s">
        <v>103</v>
      </c>
      <c r="AB11" t="s">
        <v>103</v>
      </c>
      <c r="AC11" s="2" t="s">
        <v>187</v>
      </c>
      <c r="AD11" s="2" t="s">
        <v>135</v>
      </c>
      <c r="AE11" t="s">
        <v>80</v>
      </c>
      <c r="AF11" t="s">
        <v>80</v>
      </c>
      <c r="AG11" t="s">
        <v>80</v>
      </c>
      <c r="AH11" t="s">
        <v>80</v>
      </c>
      <c r="AI11" t="s">
        <v>80</v>
      </c>
      <c r="AJ11" t="s">
        <v>110</v>
      </c>
      <c r="AK11" s="2" t="s">
        <v>188</v>
      </c>
      <c r="AL11" s="2" t="s">
        <v>189</v>
      </c>
      <c r="AM11" s="2" t="s">
        <v>190</v>
      </c>
    </row>
    <row r="12" spans="1:39">
      <c r="A12">
        <v>11</v>
      </c>
      <c r="B12" s="1">
        <v>45757.6078935185</v>
      </c>
      <c r="C12" s="1">
        <v>45757.6172337963</v>
      </c>
      <c r="D12" s="2" t="s">
        <v>64</v>
      </c>
      <c r="E12" s="2"/>
      <c r="F12" s="2" t="s">
        <v>140</v>
      </c>
      <c r="G12" s="2" t="s">
        <v>191</v>
      </c>
      <c r="H12" s="2" t="s">
        <v>66</v>
      </c>
      <c r="I12" s="2" t="s">
        <v>89</v>
      </c>
      <c r="J12" t="s">
        <v>68</v>
      </c>
      <c r="K12" t="s">
        <v>69</v>
      </c>
      <c r="L12" s="2" t="s">
        <v>44</v>
      </c>
      <c r="M12" s="2" t="s">
        <v>45</v>
      </c>
      <c r="N12" s="2" t="s">
        <v>192</v>
      </c>
      <c r="O12" s="2" t="s">
        <v>73</v>
      </c>
      <c r="P12" s="2" t="s">
        <v>48</v>
      </c>
      <c r="Q12" s="2" t="s">
        <v>193</v>
      </c>
      <c r="R12" s="2" t="s">
        <v>194</v>
      </c>
      <c r="S12" s="2" t="s">
        <v>44</v>
      </c>
      <c r="T12" s="2" t="s">
        <v>93</v>
      </c>
      <c r="U12" s="2" t="s">
        <v>195</v>
      </c>
      <c r="V12" s="2" t="s">
        <v>196</v>
      </c>
      <c r="W12" s="2" t="s">
        <v>55</v>
      </c>
      <c r="X12" s="2" t="s">
        <v>56</v>
      </c>
      <c r="Y12" s="2" t="s">
        <v>176</v>
      </c>
      <c r="Z12" t="s">
        <v>195</v>
      </c>
      <c r="AA12" s="2" t="s">
        <v>58</v>
      </c>
      <c r="AB12" t="s">
        <v>150</v>
      </c>
      <c r="AC12" s="2" t="s">
        <v>59</v>
      </c>
      <c r="AD12" s="2" t="s">
        <v>60</v>
      </c>
      <c r="AE12" t="s">
        <v>80</v>
      </c>
      <c r="AF12" t="s">
        <v>81</v>
      </c>
      <c r="AG12" t="s">
        <v>136</v>
      </c>
      <c r="AH12" t="s">
        <v>108</v>
      </c>
      <c r="AI12" t="s">
        <v>109</v>
      </c>
      <c r="AJ12" t="s">
        <v>197</v>
      </c>
      <c r="AK12" s="2" t="s">
        <v>198</v>
      </c>
      <c r="AL12" s="2" t="s">
        <v>199</v>
      </c>
      <c r="AM12" s="2"/>
    </row>
    <row r="13" spans="1:39">
      <c r="A13">
        <v>12</v>
      </c>
      <c r="B13" s="1">
        <v>45757.617719907401</v>
      </c>
      <c r="C13" s="1">
        <v>45757.621018518497</v>
      </c>
      <c r="D13" s="2" t="s">
        <v>64</v>
      </c>
      <c r="E13" s="2"/>
      <c r="F13" s="2" t="s">
        <v>140</v>
      </c>
      <c r="G13" s="2" t="s">
        <v>200</v>
      </c>
      <c r="H13" s="2" t="s">
        <v>154</v>
      </c>
      <c r="I13" s="2" t="s">
        <v>89</v>
      </c>
      <c r="J13" t="s">
        <v>90</v>
      </c>
      <c r="K13" t="s">
        <v>142</v>
      </c>
      <c r="L13" s="2" t="s">
        <v>44</v>
      </c>
      <c r="M13" s="2" t="s">
        <v>45</v>
      </c>
      <c r="N13" s="2" t="s">
        <v>201</v>
      </c>
      <c r="O13" s="2" t="s">
        <v>202</v>
      </c>
      <c r="P13" s="2" t="s">
        <v>48</v>
      </c>
      <c r="Q13" s="2" t="s">
        <v>203</v>
      </c>
      <c r="R13" s="2" t="s">
        <v>204</v>
      </c>
      <c r="S13" s="2" t="s">
        <v>44</v>
      </c>
      <c r="T13" s="2" t="s">
        <v>71</v>
      </c>
      <c r="U13" s="2" t="s">
        <v>205</v>
      </c>
      <c r="V13" s="2" t="s">
        <v>205</v>
      </c>
      <c r="W13" s="2" t="s">
        <v>55</v>
      </c>
      <c r="X13" s="2" t="s">
        <v>56</v>
      </c>
      <c r="Y13" s="2" t="s">
        <v>206</v>
      </c>
      <c r="Z13" t="s">
        <v>205</v>
      </c>
      <c r="AA13" s="2" t="s">
        <v>58</v>
      </c>
      <c r="AB13" t="s">
        <v>58</v>
      </c>
      <c r="AC13" s="2" t="s">
        <v>59</v>
      </c>
      <c r="AD13" s="2" t="s">
        <v>60</v>
      </c>
      <c r="AE13" t="s">
        <v>122</v>
      </c>
      <c r="AF13" t="s">
        <v>81</v>
      </c>
      <c r="AG13" t="s">
        <v>136</v>
      </c>
      <c r="AH13" t="s">
        <v>108</v>
      </c>
      <c r="AI13" t="s">
        <v>80</v>
      </c>
      <c r="AJ13" t="s">
        <v>83</v>
      </c>
      <c r="AK13" s="2" t="s">
        <v>207</v>
      </c>
      <c r="AL13" s="2" t="s">
        <v>205</v>
      </c>
      <c r="AM13" s="2" t="s">
        <v>208</v>
      </c>
    </row>
    <row r="14" spans="1:39">
      <c r="A14">
        <v>13</v>
      </c>
      <c r="B14" s="1">
        <v>45757.6358680556</v>
      </c>
      <c r="C14" s="1">
        <v>45757.6485763889</v>
      </c>
      <c r="D14" s="2" t="s">
        <v>64</v>
      </c>
      <c r="E14" s="2"/>
      <c r="F14" s="2" t="s">
        <v>140</v>
      </c>
      <c r="G14" s="2" t="s">
        <v>191</v>
      </c>
      <c r="H14" s="2" t="s">
        <v>154</v>
      </c>
      <c r="I14" s="2" t="s">
        <v>89</v>
      </c>
      <c r="J14" t="s">
        <v>68</v>
      </c>
      <c r="K14" t="s">
        <v>69</v>
      </c>
      <c r="L14" s="2" t="s">
        <v>70</v>
      </c>
      <c r="M14" s="2" t="s">
        <v>45</v>
      </c>
      <c r="N14" s="2" t="s">
        <v>209</v>
      </c>
      <c r="O14" s="2" t="s">
        <v>210</v>
      </c>
      <c r="P14" s="2" t="s">
        <v>144</v>
      </c>
      <c r="Q14" s="2" t="s">
        <v>211</v>
      </c>
      <c r="R14" s="2" t="s">
        <v>212</v>
      </c>
      <c r="S14" s="2" t="s">
        <v>70</v>
      </c>
      <c r="T14" s="2" t="s">
        <v>52</v>
      </c>
      <c r="U14" s="2" t="s">
        <v>117</v>
      </c>
      <c r="V14" s="2" t="s">
        <v>213</v>
      </c>
      <c r="W14" s="2" t="s">
        <v>48</v>
      </c>
      <c r="X14" s="2" t="s">
        <v>131</v>
      </c>
      <c r="Y14" s="2" t="s">
        <v>214</v>
      </c>
      <c r="Z14" t="s">
        <v>133</v>
      </c>
      <c r="AA14" s="2" t="s">
        <v>103</v>
      </c>
      <c r="AB14" t="s">
        <v>103</v>
      </c>
      <c r="AC14" s="2" t="s">
        <v>134</v>
      </c>
      <c r="AD14" s="2" t="s">
        <v>135</v>
      </c>
      <c r="AE14" t="s">
        <v>106</v>
      </c>
      <c r="AF14" t="s">
        <v>81</v>
      </c>
      <c r="AG14" t="s">
        <v>80</v>
      </c>
      <c r="AH14" t="s">
        <v>215</v>
      </c>
      <c r="AI14" t="s">
        <v>80</v>
      </c>
      <c r="AJ14" t="s">
        <v>197</v>
      </c>
      <c r="AK14" s="2" t="s">
        <v>216</v>
      </c>
      <c r="AL14" s="2" t="s">
        <v>217</v>
      </c>
      <c r="AM14" s="2" t="s">
        <v>218</v>
      </c>
    </row>
    <row r="15" spans="1:39">
      <c r="A15">
        <v>14</v>
      </c>
      <c r="B15" s="1">
        <v>45757.693993055596</v>
      </c>
      <c r="C15" s="1">
        <v>45757.6961689815</v>
      </c>
      <c r="D15" s="2" t="s">
        <v>64</v>
      </c>
      <c r="E15" s="2"/>
      <c r="F15" s="2" t="s">
        <v>140</v>
      </c>
      <c r="G15" s="2" t="s">
        <v>163</v>
      </c>
      <c r="H15" s="2" t="s">
        <v>88</v>
      </c>
      <c r="I15" s="2" t="s">
        <v>43</v>
      </c>
      <c r="J15" t="s">
        <v>90</v>
      </c>
      <c r="K15" t="s">
        <v>69</v>
      </c>
      <c r="L15" s="2" t="s">
        <v>219</v>
      </c>
      <c r="M15" s="2" t="s">
        <v>71</v>
      </c>
      <c r="N15" s="2" t="s">
        <v>220</v>
      </c>
      <c r="O15" s="2" t="s">
        <v>221</v>
      </c>
      <c r="P15" s="2" t="s">
        <v>55</v>
      </c>
      <c r="Q15" s="2" t="s">
        <v>222</v>
      </c>
      <c r="R15" s="2" t="s">
        <v>223</v>
      </c>
      <c r="S15" s="2" t="s">
        <v>70</v>
      </c>
      <c r="T15" s="2" t="s">
        <v>71</v>
      </c>
      <c r="U15" s="2" t="s">
        <v>224</v>
      </c>
      <c r="V15" s="2" t="s">
        <v>225</v>
      </c>
      <c r="W15" s="2" t="s">
        <v>55</v>
      </c>
      <c r="X15" s="2" t="s">
        <v>131</v>
      </c>
      <c r="Y15" s="2" t="s">
        <v>226</v>
      </c>
      <c r="Z15" t="s">
        <v>227</v>
      </c>
      <c r="AA15" s="2" t="s">
        <v>121</v>
      </c>
      <c r="AB15" t="s">
        <v>121</v>
      </c>
      <c r="AC15" s="2" t="s">
        <v>187</v>
      </c>
      <c r="AD15" s="2" t="s">
        <v>135</v>
      </c>
      <c r="AE15" t="s">
        <v>80</v>
      </c>
      <c r="AF15" t="s">
        <v>228</v>
      </c>
      <c r="AG15" t="s">
        <v>107</v>
      </c>
      <c r="AH15" t="s">
        <v>80</v>
      </c>
      <c r="AI15" t="s">
        <v>82</v>
      </c>
      <c r="AJ15" t="s">
        <v>197</v>
      </c>
      <c r="AK15" s="2" t="s">
        <v>229</v>
      </c>
      <c r="AL15" s="2" t="s">
        <v>229</v>
      </c>
      <c r="AM15" s="2" t="s">
        <v>229</v>
      </c>
    </row>
    <row r="16" spans="1:39">
      <c r="A16">
        <v>15</v>
      </c>
      <c r="B16" s="1">
        <v>45757.698981481502</v>
      </c>
      <c r="C16" s="1">
        <v>45757.708356481497</v>
      </c>
      <c r="D16" s="2" t="s">
        <v>64</v>
      </c>
      <c r="E16" s="2"/>
      <c r="F16" s="2" t="s">
        <v>140</v>
      </c>
      <c r="G16" s="2" t="s">
        <v>230</v>
      </c>
      <c r="H16" s="2" t="s">
        <v>154</v>
      </c>
      <c r="I16" s="2" t="s">
        <v>89</v>
      </c>
      <c r="J16" t="s">
        <v>90</v>
      </c>
      <c r="K16" t="s">
        <v>69</v>
      </c>
      <c r="L16" s="2" t="s">
        <v>92</v>
      </c>
      <c r="M16" s="2" t="s">
        <v>71</v>
      </c>
      <c r="N16" s="2" t="s">
        <v>164</v>
      </c>
      <c r="O16" s="2" t="s">
        <v>128</v>
      </c>
      <c r="P16" s="2" t="s">
        <v>48</v>
      </c>
      <c r="Q16" s="2" t="s">
        <v>3</v>
      </c>
      <c r="R16" s="2" t="s">
        <v>231</v>
      </c>
      <c r="S16" s="2" t="s">
        <v>92</v>
      </c>
      <c r="T16" s="2" t="s">
        <v>71</v>
      </c>
      <c r="U16" s="2" t="s">
        <v>232</v>
      </c>
      <c r="V16" s="2" t="s">
        <v>233</v>
      </c>
      <c r="W16" s="2" t="s">
        <v>55</v>
      </c>
      <c r="X16" s="2" t="s">
        <v>131</v>
      </c>
      <c r="Y16" s="2" t="s">
        <v>226</v>
      </c>
      <c r="Z16" t="s">
        <v>234</v>
      </c>
      <c r="AA16" s="2" t="s">
        <v>58</v>
      </c>
      <c r="AB16" t="s">
        <v>58</v>
      </c>
      <c r="AC16" s="2" t="s">
        <v>187</v>
      </c>
      <c r="AD16" s="2" t="s">
        <v>135</v>
      </c>
      <c r="AE16" t="s">
        <v>106</v>
      </c>
      <c r="AF16" t="s">
        <v>81</v>
      </c>
      <c r="AG16" t="s">
        <v>80</v>
      </c>
      <c r="AH16" t="s">
        <v>80</v>
      </c>
      <c r="AI16" t="s">
        <v>82</v>
      </c>
      <c r="AJ16" t="s">
        <v>83</v>
      </c>
      <c r="AK16" s="2" t="s">
        <v>235</v>
      </c>
      <c r="AL16" s="2" t="s">
        <v>236</v>
      </c>
      <c r="AM16" s="2" t="s">
        <v>237</v>
      </c>
    </row>
    <row r="17" spans="1:39">
      <c r="A17">
        <v>16</v>
      </c>
      <c r="B17" s="1">
        <v>45757.761076388902</v>
      </c>
      <c r="C17" s="1">
        <v>45757.765104166698</v>
      </c>
      <c r="D17" s="2" t="s">
        <v>64</v>
      </c>
      <c r="E17" s="2"/>
      <c r="F17" s="2" t="s">
        <v>40</v>
      </c>
      <c r="G17" s="2" t="s">
        <v>238</v>
      </c>
      <c r="H17" s="2" t="s">
        <v>88</v>
      </c>
      <c r="I17" s="2" t="s">
        <v>89</v>
      </c>
      <c r="J17" t="s">
        <v>68</v>
      </c>
      <c r="K17" t="s">
        <v>91</v>
      </c>
      <c r="L17" s="2" t="s">
        <v>92</v>
      </c>
      <c r="M17" s="2" t="s">
        <v>93</v>
      </c>
      <c r="N17" s="2" t="s">
        <v>239</v>
      </c>
      <c r="O17" s="2" t="s">
        <v>128</v>
      </c>
      <c r="P17" s="2" t="s">
        <v>48</v>
      </c>
      <c r="Q17" s="2" t="s">
        <v>74</v>
      </c>
      <c r="R17" s="2" t="s">
        <v>167</v>
      </c>
      <c r="S17" s="2" t="s">
        <v>92</v>
      </c>
      <c r="T17" s="2" t="s">
        <v>114</v>
      </c>
      <c r="U17" s="2" t="s">
        <v>240</v>
      </c>
      <c r="V17" s="2" t="s">
        <v>98</v>
      </c>
      <c r="W17" s="2" t="s">
        <v>48</v>
      </c>
      <c r="X17" s="2" t="s">
        <v>100</v>
      </c>
      <c r="Y17" s="2" t="s">
        <v>132</v>
      </c>
      <c r="Z17" t="s">
        <v>241</v>
      </c>
      <c r="AA17" s="2" t="s">
        <v>150</v>
      </c>
      <c r="AB17" t="s">
        <v>58</v>
      </c>
      <c r="AC17" s="2" t="s">
        <v>187</v>
      </c>
      <c r="AD17" s="2" t="s">
        <v>105</v>
      </c>
      <c r="AE17" t="s">
        <v>122</v>
      </c>
      <c r="AF17" t="s">
        <v>81</v>
      </c>
      <c r="AG17" t="s">
        <v>107</v>
      </c>
      <c r="AH17" t="s">
        <v>215</v>
      </c>
      <c r="AI17" t="s">
        <v>109</v>
      </c>
      <c r="AJ17" t="s">
        <v>83</v>
      </c>
      <c r="AK17" s="2" t="s">
        <v>242</v>
      </c>
      <c r="AL17" s="2" t="s">
        <v>243</v>
      </c>
      <c r="AM17" s="2" t="s">
        <v>244</v>
      </c>
    </row>
    <row r="18" spans="1:39">
      <c r="A18">
        <v>17</v>
      </c>
      <c r="B18" s="1">
        <v>45757.784953703696</v>
      </c>
      <c r="C18" s="1">
        <v>45757.800358796303</v>
      </c>
      <c r="D18" s="2" t="s">
        <v>64</v>
      </c>
      <c r="E18" s="2"/>
      <c r="F18" s="2" t="s">
        <v>40</v>
      </c>
      <c r="G18" s="2" t="s">
        <v>238</v>
      </c>
      <c r="H18" s="2" t="s">
        <v>88</v>
      </c>
      <c r="I18" s="2" t="s">
        <v>89</v>
      </c>
      <c r="J18" t="s">
        <v>90</v>
      </c>
      <c r="K18" t="s">
        <v>91</v>
      </c>
      <c r="L18" s="2" t="s">
        <v>44</v>
      </c>
      <c r="M18" s="2" t="s">
        <v>52</v>
      </c>
      <c r="N18" s="2" t="s">
        <v>181</v>
      </c>
      <c r="O18" s="2" t="s">
        <v>128</v>
      </c>
      <c r="P18" s="2" t="s">
        <v>144</v>
      </c>
      <c r="Q18" s="2" t="s">
        <v>74</v>
      </c>
      <c r="R18" s="2" t="s">
        <v>167</v>
      </c>
      <c r="S18" s="2" t="s">
        <v>44</v>
      </c>
      <c r="T18" s="2" t="s">
        <v>114</v>
      </c>
      <c r="U18" s="2" t="s">
        <v>183</v>
      </c>
      <c r="V18" s="2" t="s">
        <v>184</v>
      </c>
      <c r="W18" s="2" t="s">
        <v>99</v>
      </c>
      <c r="X18" s="2" t="s">
        <v>131</v>
      </c>
      <c r="Y18" s="2" t="s">
        <v>245</v>
      </c>
      <c r="Z18" t="s">
        <v>102</v>
      </c>
      <c r="AA18" s="2" t="s">
        <v>103</v>
      </c>
      <c r="AB18" t="s">
        <v>55</v>
      </c>
      <c r="AC18" s="2" t="s">
        <v>187</v>
      </c>
      <c r="AD18" s="2" t="s">
        <v>60</v>
      </c>
      <c r="AE18" t="s">
        <v>122</v>
      </c>
      <c r="AF18" t="s">
        <v>81</v>
      </c>
      <c r="AG18" t="s">
        <v>107</v>
      </c>
      <c r="AH18" t="s">
        <v>215</v>
      </c>
      <c r="AI18" t="s">
        <v>109</v>
      </c>
      <c r="AJ18" t="s">
        <v>197</v>
      </c>
      <c r="AK18" s="2" t="s">
        <v>246</v>
      </c>
      <c r="AL18" s="2" t="s">
        <v>247</v>
      </c>
      <c r="AM18" s="2" t="s">
        <v>248</v>
      </c>
    </row>
    <row r="19" spans="1:39">
      <c r="A19">
        <v>18</v>
      </c>
      <c r="B19" s="1">
        <v>45757.802094907398</v>
      </c>
      <c r="C19" s="1">
        <v>45757.807326388902</v>
      </c>
      <c r="D19" s="2" t="s">
        <v>64</v>
      </c>
      <c r="E19" s="2"/>
      <c r="F19" s="2" t="s">
        <v>140</v>
      </c>
      <c r="G19" s="2" t="s">
        <v>238</v>
      </c>
      <c r="H19" s="2" t="s">
        <v>66</v>
      </c>
      <c r="I19" s="2" t="s">
        <v>67</v>
      </c>
      <c r="J19" t="s">
        <v>68</v>
      </c>
      <c r="K19" t="s">
        <v>180</v>
      </c>
      <c r="L19" s="2" t="s">
        <v>92</v>
      </c>
      <c r="M19" s="2" t="s">
        <v>114</v>
      </c>
      <c r="N19" s="2" t="s">
        <v>181</v>
      </c>
      <c r="O19" s="2" t="s">
        <v>128</v>
      </c>
      <c r="P19" s="2" t="s">
        <v>55</v>
      </c>
      <c r="Q19" s="2" t="s">
        <v>249</v>
      </c>
      <c r="R19" s="2" t="s">
        <v>145</v>
      </c>
      <c r="S19" s="2" t="s">
        <v>92</v>
      </c>
      <c r="T19" s="2" t="s">
        <v>52</v>
      </c>
      <c r="U19" s="2" t="s">
        <v>76</v>
      </c>
      <c r="V19" s="2" t="s">
        <v>169</v>
      </c>
      <c r="W19" s="2" t="s">
        <v>99</v>
      </c>
      <c r="X19" s="2" t="s">
        <v>100</v>
      </c>
      <c r="Y19" s="2" t="s">
        <v>101</v>
      </c>
      <c r="Z19" t="s">
        <v>250</v>
      </c>
      <c r="AA19" s="2" t="s">
        <v>103</v>
      </c>
      <c r="AB19" t="s">
        <v>103</v>
      </c>
      <c r="AC19" s="2" t="s">
        <v>59</v>
      </c>
      <c r="AD19" s="2" t="s">
        <v>135</v>
      </c>
      <c r="AE19" t="s">
        <v>80</v>
      </c>
      <c r="AF19" t="s">
        <v>81</v>
      </c>
      <c r="AG19" t="s">
        <v>80</v>
      </c>
      <c r="AH19" t="s">
        <v>80</v>
      </c>
      <c r="AI19" t="s">
        <v>82</v>
      </c>
      <c r="AJ19" t="s">
        <v>197</v>
      </c>
      <c r="AK19" s="2" t="s">
        <v>251</v>
      </c>
      <c r="AL19" s="2" t="s">
        <v>252</v>
      </c>
      <c r="AM19" s="2" t="s">
        <v>253</v>
      </c>
    </row>
    <row r="20" spans="1:39">
      <c r="A20">
        <v>19</v>
      </c>
      <c r="B20" s="1">
        <v>45757.865763888898</v>
      </c>
      <c r="C20" s="1">
        <v>45757.867754629602</v>
      </c>
      <c r="D20" s="2" t="s">
        <v>64</v>
      </c>
      <c r="E20" s="2"/>
      <c r="F20" s="2" t="s">
        <v>140</v>
      </c>
      <c r="G20" s="2" t="s">
        <v>191</v>
      </c>
      <c r="H20" s="2" t="s">
        <v>154</v>
      </c>
      <c r="I20" s="2" t="s">
        <v>67</v>
      </c>
      <c r="J20" t="s">
        <v>68</v>
      </c>
      <c r="K20" t="s">
        <v>69</v>
      </c>
      <c r="L20" s="2" t="s">
        <v>44</v>
      </c>
      <c r="M20" s="2" t="s">
        <v>71</v>
      </c>
      <c r="N20" s="2" t="s">
        <v>127</v>
      </c>
      <c r="O20" s="2" t="s">
        <v>165</v>
      </c>
      <c r="P20" s="2" t="s">
        <v>129</v>
      </c>
      <c r="Q20" s="2" t="s">
        <v>3</v>
      </c>
      <c r="R20" s="2" t="s">
        <v>75</v>
      </c>
      <c r="S20" s="2" t="s">
        <v>70</v>
      </c>
      <c r="T20" s="2" t="s">
        <v>71</v>
      </c>
      <c r="U20" s="2" t="s">
        <v>254</v>
      </c>
      <c r="V20" s="2" t="s">
        <v>98</v>
      </c>
      <c r="W20" s="2" t="s">
        <v>55</v>
      </c>
      <c r="X20" s="2" t="s">
        <v>100</v>
      </c>
      <c r="Y20" s="2" t="s">
        <v>255</v>
      </c>
      <c r="Z20" t="s">
        <v>102</v>
      </c>
      <c r="AA20" s="2" t="s">
        <v>55</v>
      </c>
      <c r="AB20" t="s">
        <v>55</v>
      </c>
      <c r="AC20" s="2" t="s">
        <v>59</v>
      </c>
      <c r="AD20" s="2" t="s">
        <v>60</v>
      </c>
      <c r="AE20" t="s">
        <v>122</v>
      </c>
      <c r="AF20" t="s">
        <v>80</v>
      </c>
      <c r="AG20" t="s">
        <v>107</v>
      </c>
      <c r="AH20" t="s">
        <v>108</v>
      </c>
      <c r="AI20" t="s">
        <v>109</v>
      </c>
      <c r="AJ20" t="s">
        <v>110</v>
      </c>
      <c r="AK20" s="2" t="s">
        <v>256</v>
      </c>
      <c r="AL20" s="2" t="s">
        <v>256</v>
      </c>
      <c r="AM20" s="2" t="s">
        <v>257</v>
      </c>
    </row>
    <row r="21" spans="1:39">
      <c r="A21">
        <v>20</v>
      </c>
      <c r="B21" s="1">
        <v>45757.904641203699</v>
      </c>
      <c r="C21" s="1">
        <v>45757.9079166667</v>
      </c>
      <c r="D21" s="2" t="s">
        <v>64</v>
      </c>
      <c r="E21" s="2"/>
      <c r="F21" s="2" t="s">
        <v>40</v>
      </c>
      <c r="G21" s="2" t="s">
        <v>258</v>
      </c>
      <c r="H21" s="2" t="s">
        <v>259</v>
      </c>
      <c r="I21" s="2" t="s">
        <v>89</v>
      </c>
      <c r="J21" t="s">
        <v>126</v>
      </c>
      <c r="K21" t="s">
        <v>69</v>
      </c>
      <c r="L21" s="2" t="s">
        <v>92</v>
      </c>
      <c r="M21" s="2" t="s">
        <v>114</v>
      </c>
      <c r="N21" s="2" t="s">
        <v>181</v>
      </c>
      <c r="O21" s="2" t="s">
        <v>156</v>
      </c>
      <c r="P21" s="2" t="s">
        <v>144</v>
      </c>
      <c r="Q21" s="2" t="s">
        <v>260</v>
      </c>
      <c r="R21" s="2" t="s">
        <v>145</v>
      </c>
      <c r="S21" s="2" t="s">
        <v>92</v>
      </c>
      <c r="T21" s="2" t="s">
        <v>45</v>
      </c>
      <c r="U21" s="2" t="s">
        <v>261</v>
      </c>
      <c r="V21" s="2" t="s">
        <v>98</v>
      </c>
      <c r="W21" s="2" t="s">
        <v>48</v>
      </c>
      <c r="X21" s="2" t="s">
        <v>100</v>
      </c>
      <c r="Y21" s="2" t="s">
        <v>176</v>
      </c>
      <c r="Z21" t="s">
        <v>262</v>
      </c>
      <c r="AA21" s="2" t="s">
        <v>103</v>
      </c>
      <c r="AB21" t="s">
        <v>103</v>
      </c>
      <c r="AC21" s="2" t="s">
        <v>187</v>
      </c>
      <c r="AD21" s="2" t="s">
        <v>135</v>
      </c>
      <c r="AE21" t="s">
        <v>122</v>
      </c>
      <c r="AF21" t="s">
        <v>81</v>
      </c>
      <c r="AG21" t="s">
        <v>136</v>
      </c>
      <c r="AH21" t="s">
        <v>80</v>
      </c>
      <c r="AI21" t="s">
        <v>109</v>
      </c>
      <c r="AJ21" t="s">
        <v>110</v>
      </c>
      <c r="AK21" s="2"/>
      <c r="AL21" s="2"/>
      <c r="AM21" s="2"/>
    </row>
    <row r="22" spans="1:39">
      <c r="A22">
        <v>21</v>
      </c>
      <c r="B22" s="1">
        <v>45757.923645833303</v>
      </c>
      <c r="C22" s="1">
        <v>45757.927141203698</v>
      </c>
      <c r="D22" s="2" t="s">
        <v>64</v>
      </c>
      <c r="E22" s="2"/>
      <c r="F22" s="2" t="s">
        <v>140</v>
      </c>
      <c r="G22" s="2" t="s">
        <v>113</v>
      </c>
      <c r="H22" s="2" t="s">
        <v>154</v>
      </c>
      <c r="I22" s="2" t="s">
        <v>89</v>
      </c>
      <c r="J22" t="s">
        <v>68</v>
      </c>
      <c r="K22" t="s">
        <v>180</v>
      </c>
      <c r="L22" s="2" t="s">
        <v>70</v>
      </c>
      <c r="M22" s="2" t="s">
        <v>45</v>
      </c>
      <c r="N22" s="2" t="s">
        <v>181</v>
      </c>
      <c r="O22" s="2" t="s">
        <v>229</v>
      </c>
      <c r="P22" s="2" t="s">
        <v>55</v>
      </c>
      <c r="Q22" s="2" t="s">
        <v>263</v>
      </c>
      <c r="R22" s="2" t="s">
        <v>145</v>
      </c>
      <c r="S22" s="2" t="s">
        <v>70</v>
      </c>
      <c r="T22" s="2" t="s">
        <v>93</v>
      </c>
      <c r="U22" s="2" t="s">
        <v>229</v>
      </c>
      <c r="V22" s="2" t="s">
        <v>233</v>
      </c>
      <c r="W22" s="2" t="s">
        <v>99</v>
      </c>
      <c r="X22" s="2" t="s">
        <v>56</v>
      </c>
      <c r="Y22" s="2" t="s">
        <v>78</v>
      </c>
      <c r="Z22" t="s">
        <v>264</v>
      </c>
      <c r="AA22" s="2" t="s">
        <v>103</v>
      </c>
      <c r="AB22" t="s">
        <v>55</v>
      </c>
      <c r="AC22" s="2" t="s">
        <v>59</v>
      </c>
      <c r="AD22" s="2" t="s">
        <v>60</v>
      </c>
      <c r="AE22" t="s">
        <v>122</v>
      </c>
      <c r="AF22" t="s">
        <v>81</v>
      </c>
      <c r="AG22" t="s">
        <v>136</v>
      </c>
      <c r="AH22" t="s">
        <v>108</v>
      </c>
      <c r="AI22" t="s">
        <v>80</v>
      </c>
      <c r="AJ22" t="s">
        <v>83</v>
      </c>
      <c r="AK22" s="2" t="s">
        <v>265</v>
      </c>
      <c r="AL22" s="2" t="s">
        <v>266</v>
      </c>
      <c r="AM22" s="2" t="s">
        <v>267</v>
      </c>
    </row>
    <row r="23" spans="1:39">
      <c r="A23">
        <v>22</v>
      </c>
      <c r="B23" s="1">
        <v>45758.354872685202</v>
      </c>
      <c r="C23" s="1">
        <v>45758.389594907399</v>
      </c>
      <c r="D23" s="2" t="s">
        <v>64</v>
      </c>
      <c r="E23" s="2"/>
      <c r="F23" s="2" t="s">
        <v>40</v>
      </c>
      <c r="G23" s="2" t="s">
        <v>238</v>
      </c>
      <c r="H23" s="2" t="s">
        <v>154</v>
      </c>
      <c r="I23" s="2" t="s">
        <v>89</v>
      </c>
      <c r="J23" t="s">
        <v>68</v>
      </c>
      <c r="K23" t="s">
        <v>91</v>
      </c>
      <c r="L23" s="2" t="s">
        <v>92</v>
      </c>
      <c r="M23" s="2" t="s">
        <v>114</v>
      </c>
      <c r="N23" s="2" t="s">
        <v>181</v>
      </c>
      <c r="O23" s="2" t="s">
        <v>128</v>
      </c>
      <c r="P23" s="2" t="s">
        <v>55</v>
      </c>
      <c r="Q23" s="2" t="s">
        <v>74</v>
      </c>
      <c r="R23" s="2" t="s">
        <v>268</v>
      </c>
      <c r="S23" s="2" t="s">
        <v>92</v>
      </c>
      <c r="T23" s="2" t="s">
        <v>114</v>
      </c>
      <c r="U23" s="2" t="s">
        <v>117</v>
      </c>
      <c r="V23" s="2" t="s">
        <v>184</v>
      </c>
      <c r="W23" s="2" t="s">
        <v>48</v>
      </c>
      <c r="X23" s="2" t="s">
        <v>131</v>
      </c>
      <c r="Y23" s="2" t="s">
        <v>78</v>
      </c>
      <c r="Z23" t="s">
        <v>269</v>
      </c>
      <c r="AA23" s="2" t="s">
        <v>103</v>
      </c>
      <c r="AB23" t="s">
        <v>103</v>
      </c>
      <c r="AC23" s="2" t="s">
        <v>59</v>
      </c>
      <c r="AD23" s="2" t="s">
        <v>135</v>
      </c>
      <c r="AE23" t="s">
        <v>106</v>
      </c>
      <c r="AF23" t="s">
        <v>81</v>
      </c>
      <c r="AG23" t="s">
        <v>136</v>
      </c>
      <c r="AH23" t="s">
        <v>108</v>
      </c>
      <c r="AI23" t="s">
        <v>109</v>
      </c>
      <c r="AJ23" t="s">
        <v>110</v>
      </c>
      <c r="AK23" s="2" t="s">
        <v>270</v>
      </c>
      <c r="AL23" s="2" t="s">
        <v>271</v>
      </c>
      <c r="AM23" s="2" t="s">
        <v>272</v>
      </c>
    </row>
    <row r="24" spans="1:39">
      <c r="A24">
        <v>23</v>
      </c>
      <c r="B24" s="1">
        <v>45758.6341203704</v>
      </c>
      <c r="C24" s="1">
        <v>45758.6385069444</v>
      </c>
      <c r="D24" s="2" t="s">
        <v>64</v>
      </c>
      <c r="E24" s="2"/>
      <c r="F24" s="2" t="s">
        <v>140</v>
      </c>
      <c r="G24" s="2" t="s">
        <v>273</v>
      </c>
      <c r="H24" s="2" t="s">
        <v>66</v>
      </c>
      <c r="I24" s="2" t="s">
        <v>43</v>
      </c>
      <c r="J24" t="s">
        <v>90</v>
      </c>
      <c r="K24" t="s">
        <v>69</v>
      </c>
      <c r="L24" s="2" t="s">
        <v>44</v>
      </c>
      <c r="M24" s="2" t="s">
        <v>52</v>
      </c>
      <c r="N24" s="2" t="s">
        <v>155</v>
      </c>
      <c r="O24" s="2" t="s">
        <v>274</v>
      </c>
      <c r="P24" s="2" t="s">
        <v>48</v>
      </c>
      <c r="Q24" s="2" t="s">
        <v>275</v>
      </c>
      <c r="R24" s="2" t="s">
        <v>276</v>
      </c>
      <c r="S24" s="2" t="s">
        <v>44</v>
      </c>
      <c r="T24" s="2" t="s">
        <v>114</v>
      </c>
      <c r="U24" s="2" t="s">
        <v>277</v>
      </c>
      <c r="V24" s="2" t="s">
        <v>278</v>
      </c>
      <c r="W24" s="2" t="s">
        <v>99</v>
      </c>
      <c r="X24" s="2" t="s">
        <v>100</v>
      </c>
      <c r="Y24" s="2" t="s">
        <v>279</v>
      </c>
      <c r="Z24" t="s">
        <v>280</v>
      </c>
      <c r="AA24" s="2" t="s">
        <v>150</v>
      </c>
      <c r="AB24" t="s">
        <v>103</v>
      </c>
      <c r="AC24" s="2" t="s">
        <v>187</v>
      </c>
      <c r="AD24" s="2" t="s">
        <v>60</v>
      </c>
      <c r="AE24" t="s">
        <v>122</v>
      </c>
      <c r="AF24" t="s">
        <v>81</v>
      </c>
      <c r="AG24" t="s">
        <v>136</v>
      </c>
      <c r="AH24" t="s">
        <v>215</v>
      </c>
      <c r="AI24" t="s">
        <v>109</v>
      </c>
      <c r="AJ24" t="s">
        <v>83</v>
      </c>
      <c r="AK24" s="2" t="s">
        <v>281</v>
      </c>
      <c r="AL24" s="2" t="s">
        <v>282</v>
      </c>
      <c r="AM24" s="2" t="s">
        <v>283</v>
      </c>
    </row>
    <row r="25" spans="1:39">
      <c r="A25">
        <v>24</v>
      </c>
      <c r="B25" s="1">
        <v>45758.439895833297</v>
      </c>
      <c r="C25" s="1">
        <v>45758.653124999997</v>
      </c>
      <c r="D25" s="2" t="s">
        <v>64</v>
      </c>
      <c r="E25" s="2"/>
      <c r="F25" s="2" t="s">
        <v>40</v>
      </c>
      <c r="G25" s="2" t="s">
        <v>238</v>
      </c>
      <c r="H25" s="2" t="s">
        <v>66</v>
      </c>
      <c r="I25" s="2" t="s">
        <v>89</v>
      </c>
      <c r="J25" t="s">
        <v>68</v>
      </c>
      <c r="K25" t="s">
        <v>91</v>
      </c>
      <c r="L25" s="2" t="s">
        <v>92</v>
      </c>
      <c r="M25" s="2" t="s">
        <v>45</v>
      </c>
      <c r="N25" s="2" t="s">
        <v>284</v>
      </c>
      <c r="O25" s="2" t="s">
        <v>285</v>
      </c>
      <c r="P25" s="2" t="s">
        <v>129</v>
      </c>
      <c r="Q25" s="2" t="s">
        <v>74</v>
      </c>
      <c r="R25" s="2" t="s">
        <v>286</v>
      </c>
      <c r="S25" s="2" t="s">
        <v>92</v>
      </c>
      <c r="T25" s="2" t="s">
        <v>52</v>
      </c>
      <c r="U25" s="2" t="s">
        <v>287</v>
      </c>
      <c r="V25" s="2" t="s">
        <v>288</v>
      </c>
      <c r="W25" s="2" t="s">
        <v>99</v>
      </c>
      <c r="X25" s="2" t="s">
        <v>100</v>
      </c>
      <c r="Y25" s="2" t="s">
        <v>289</v>
      </c>
      <c r="Z25" t="s">
        <v>290</v>
      </c>
      <c r="AA25" s="2" t="s">
        <v>103</v>
      </c>
      <c r="AB25" t="s">
        <v>103</v>
      </c>
      <c r="AC25" s="2" t="s">
        <v>59</v>
      </c>
      <c r="AD25" s="2" t="s">
        <v>60</v>
      </c>
      <c r="AE25" t="s">
        <v>122</v>
      </c>
      <c r="AF25" t="s">
        <v>291</v>
      </c>
      <c r="AG25" t="s">
        <v>136</v>
      </c>
      <c r="AH25" t="s">
        <v>108</v>
      </c>
      <c r="AI25" t="s">
        <v>82</v>
      </c>
      <c r="AJ25" t="s">
        <v>83</v>
      </c>
      <c r="AK25" s="2" t="s">
        <v>292</v>
      </c>
      <c r="AL25" s="2" t="s">
        <v>293</v>
      </c>
      <c r="AM25" s="2" t="s">
        <v>294</v>
      </c>
    </row>
    <row r="26" spans="1:39">
      <c r="A26">
        <v>25</v>
      </c>
      <c r="B26" s="1">
        <v>45758.736423611103</v>
      </c>
      <c r="C26" s="1">
        <v>45758.740810185198</v>
      </c>
      <c r="D26" s="2" t="s">
        <v>64</v>
      </c>
      <c r="E26" s="2"/>
      <c r="F26" s="2" t="s">
        <v>140</v>
      </c>
      <c r="G26" s="2" t="s">
        <v>141</v>
      </c>
      <c r="H26" s="2" t="s">
        <v>42</v>
      </c>
      <c r="I26" s="2" t="s">
        <v>89</v>
      </c>
      <c r="J26" t="s">
        <v>68</v>
      </c>
      <c r="K26" t="s">
        <v>69</v>
      </c>
      <c r="L26" s="2" t="s">
        <v>92</v>
      </c>
      <c r="M26" s="2" t="s">
        <v>114</v>
      </c>
      <c r="N26" s="2" t="s">
        <v>72</v>
      </c>
      <c r="O26" s="2" t="s">
        <v>128</v>
      </c>
      <c r="P26" s="2" t="s">
        <v>144</v>
      </c>
      <c r="Q26" s="2" t="s">
        <v>295</v>
      </c>
      <c r="R26" s="2" t="s">
        <v>145</v>
      </c>
      <c r="S26" s="2" t="s">
        <v>92</v>
      </c>
      <c r="T26" s="2" t="s">
        <v>71</v>
      </c>
      <c r="U26" s="2" t="s">
        <v>183</v>
      </c>
      <c r="V26" s="2" t="s">
        <v>147</v>
      </c>
      <c r="W26" s="2" t="s">
        <v>48</v>
      </c>
      <c r="X26" s="2" t="s">
        <v>131</v>
      </c>
      <c r="Y26" s="2" t="s">
        <v>296</v>
      </c>
      <c r="Z26" t="s">
        <v>133</v>
      </c>
      <c r="AA26" s="2" t="s">
        <v>55</v>
      </c>
      <c r="AB26" t="s">
        <v>55</v>
      </c>
      <c r="AC26" s="2" t="s">
        <v>134</v>
      </c>
      <c r="AD26" s="2" t="s">
        <v>135</v>
      </c>
      <c r="AE26" t="s">
        <v>106</v>
      </c>
      <c r="AF26" t="s">
        <v>81</v>
      </c>
      <c r="AG26" t="s">
        <v>80</v>
      </c>
      <c r="AH26" t="s">
        <v>80</v>
      </c>
      <c r="AI26" t="s">
        <v>109</v>
      </c>
      <c r="AJ26" t="s">
        <v>110</v>
      </c>
      <c r="AK26" s="2" t="s">
        <v>297</v>
      </c>
      <c r="AL26" s="2" t="s">
        <v>298</v>
      </c>
      <c r="AM26" s="2" t="s">
        <v>299</v>
      </c>
    </row>
    <row r="27" spans="1:39">
      <c r="A27">
        <v>26</v>
      </c>
      <c r="B27" s="1">
        <v>45758.741296296299</v>
      </c>
      <c r="C27" s="1">
        <v>45758.744652777801</v>
      </c>
      <c r="D27" s="2" t="s">
        <v>64</v>
      </c>
      <c r="E27" s="2"/>
      <c r="F27" s="2" t="s">
        <v>140</v>
      </c>
      <c r="G27" s="2" t="s">
        <v>300</v>
      </c>
      <c r="H27" s="2" t="s">
        <v>154</v>
      </c>
      <c r="I27" s="2" t="s">
        <v>89</v>
      </c>
      <c r="J27" t="s">
        <v>68</v>
      </c>
      <c r="K27" t="s">
        <v>69</v>
      </c>
      <c r="L27" s="2" t="s">
        <v>70</v>
      </c>
      <c r="M27" s="2" t="s">
        <v>71</v>
      </c>
      <c r="N27" s="2" t="s">
        <v>164</v>
      </c>
      <c r="O27" s="2" t="s">
        <v>156</v>
      </c>
      <c r="P27" s="2" t="s">
        <v>48</v>
      </c>
      <c r="Q27" s="2" t="s">
        <v>74</v>
      </c>
      <c r="R27" s="2" t="s">
        <v>167</v>
      </c>
      <c r="S27" s="2" t="s">
        <v>70</v>
      </c>
      <c r="T27" s="2" t="s">
        <v>71</v>
      </c>
      <c r="U27" s="2" t="s">
        <v>232</v>
      </c>
      <c r="V27" s="2" t="s">
        <v>184</v>
      </c>
      <c r="W27" s="2" t="s">
        <v>55</v>
      </c>
      <c r="X27" s="2" t="s">
        <v>131</v>
      </c>
      <c r="Y27" s="2" t="s">
        <v>301</v>
      </c>
      <c r="Z27" t="s">
        <v>149</v>
      </c>
      <c r="AA27" s="2" t="s">
        <v>55</v>
      </c>
      <c r="AB27" t="s">
        <v>103</v>
      </c>
      <c r="AC27" s="2" t="s">
        <v>134</v>
      </c>
      <c r="AD27" s="2" t="s">
        <v>135</v>
      </c>
      <c r="AE27" t="s">
        <v>80</v>
      </c>
      <c r="AF27" t="s">
        <v>81</v>
      </c>
      <c r="AG27" t="s">
        <v>136</v>
      </c>
      <c r="AH27" t="s">
        <v>108</v>
      </c>
      <c r="AI27" t="s">
        <v>82</v>
      </c>
      <c r="AJ27" t="s">
        <v>83</v>
      </c>
      <c r="AK27" s="2"/>
      <c r="AL27" s="2"/>
      <c r="AM27" s="2"/>
    </row>
    <row r="28" spans="1:39">
      <c r="A28">
        <v>27</v>
      </c>
      <c r="B28" s="1">
        <v>45759.382939814801</v>
      </c>
      <c r="C28" s="1">
        <v>45759.393252314803</v>
      </c>
      <c r="D28" s="2" t="s">
        <v>64</v>
      </c>
      <c r="E28" s="2"/>
      <c r="F28" s="2" t="s">
        <v>40</v>
      </c>
      <c r="G28" s="2" t="s">
        <v>302</v>
      </c>
      <c r="H28" s="2" t="s">
        <v>154</v>
      </c>
      <c r="I28" s="2" t="s">
        <v>89</v>
      </c>
      <c r="J28" t="s">
        <v>68</v>
      </c>
      <c r="K28" t="s">
        <v>142</v>
      </c>
      <c r="L28" s="2" t="s">
        <v>70</v>
      </c>
      <c r="M28" s="2" t="s">
        <v>114</v>
      </c>
      <c r="N28" s="2" t="s">
        <v>303</v>
      </c>
      <c r="O28" s="2" t="s">
        <v>143</v>
      </c>
      <c r="P28" s="2" t="s">
        <v>48</v>
      </c>
      <c r="Q28" s="2" t="s">
        <v>74</v>
      </c>
      <c r="R28" s="2" t="s">
        <v>96</v>
      </c>
      <c r="S28" s="2" t="s">
        <v>70</v>
      </c>
      <c r="T28" s="2" t="s">
        <v>71</v>
      </c>
      <c r="U28" s="2" t="s">
        <v>304</v>
      </c>
      <c r="V28" s="2" t="s">
        <v>147</v>
      </c>
      <c r="W28" s="2" t="s">
        <v>48</v>
      </c>
      <c r="X28" s="2" t="s">
        <v>131</v>
      </c>
      <c r="Y28" s="2" t="s">
        <v>214</v>
      </c>
      <c r="Z28" t="s">
        <v>241</v>
      </c>
      <c r="AA28" s="2" t="s">
        <v>58</v>
      </c>
      <c r="AB28" t="s">
        <v>55</v>
      </c>
      <c r="AC28" s="2" t="s">
        <v>59</v>
      </c>
      <c r="AD28" s="2" t="s">
        <v>135</v>
      </c>
      <c r="AE28" t="s">
        <v>80</v>
      </c>
      <c r="AF28" t="s">
        <v>81</v>
      </c>
      <c r="AG28" t="s">
        <v>136</v>
      </c>
      <c r="AH28" t="s">
        <v>108</v>
      </c>
      <c r="AI28" t="s">
        <v>109</v>
      </c>
      <c r="AJ28" t="s">
        <v>83</v>
      </c>
      <c r="AK28" s="2" t="s">
        <v>305</v>
      </c>
      <c r="AL28" s="2" t="s">
        <v>306</v>
      </c>
      <c r="AM28" s="2" t="s">
        <v>307</v>
      </c>
    </row>
    <row r="29" spans="1:39">
      <c r="A29">
        <v>28</v>
      </c>
      <c r="B29" s="1">
        <v>45759.398692129602</v>
      </c>
      <c r="C29" s="1">
        <v>45759.409513888902</v>
      </c>
      <c r="D29" s="2" t="s">
        <v>64</v>
      </c>
      <c r="E29" s="2"/>
      <c r="F29" s="2" t="s">
        <v>40</v>
      </c>
      <c r="G29" s="2" t="s">
        <v>191</v>
      </c>
      <c r="H29" s="2" t="s">
        <v>88</v>
      </c>
      <c r="I29" s="2" t="s">
        <v>43</v>
      </c>
      <c r="J29" t="s">
        <v>90</v>
      </c>
      <c r="K29" t="s">
        <v>142</v>
      </c>
      <c r="L29" s="2" t="s">
        <v>44</v>
      </c>
      <c r="M29" s="2" t="s">
        <v>114</v>
      </c>
      <c r="N29" s="2" t="s">
        <v>181</v>
      </c>
      <c r="O29" s="2" t="s">
        <v>210</v>
      </c>
      <c r="P29" s="2" t="s">
        <v>55</v>
      </c>
      <c r="Q29" s="2" t="s">
        <v>308</v>
      </c>
      <c r="R29" s="2" t="s">
        <v>309</v>
      </c>
      <c r="S29" s="2" t="s">
        <v>44</v>
      </c>
      <c r="T29" s="2" t="s">
        <v>52</v>
      </c>
      <c r="U29" s="2" t="s">
        <v>310</v>
      </c>
      <c r="V29" s="2" t="s">
        <v>311</v>
      </c>
      <c r="W29" s="2" t="s">
        <v>55</v>
      </c>
      <c r="X29" s="2" t="s">
        <v>56</v>
      </c>
      <c r="Y29" s="2" t="s">
        <v>312</v>
      </c>
      <c r="Z29" t="s">
        <v>313</v>
      </c>
      <c r="AA29" s="2" t="s">
        <v>58</v>
      </c>
      <c r="AB29" t="s">
        <v>121</v>
      </c>
      <c r="AC29" s="2" t="s">
        <v>59</v>
      </c>
      <c r="AD29" s="2" t="s">
        <v>60</v>
      </c>
      <c r="AE29" t="s">
        <v>122</v>
      </c>
      <c r="AF29" t="s">
        <v>81</v>
      </c>
      <c r="AG29" t="s">
        <v>136</v>
      </c>
      <c r="AH29" t="s">
        <v>108</v>
      </c>
      <c r="AI29" t="s">
        <v>80</v>
      </c>
      <c r="AJ29" t="s">
        <v>110</v>
      </c>
      <c r="AK29" s="2" t="s">
        <v>314</v>
      </c>
      <c r="AL29" s="2" t="s">
        <v>315</v>
      </c>
      <c r="AM29" s="2" t="s">
        <v>316</v>
      </c>
    </row>
    <row r="30" spans="1:39">
      <c r="A30">
        <v>29</v>
      </c>
      <c r="B30" s="1">
        <v>45760.672858796301</v>
      </c>
      <c r="C30" s="1">
        <v>45760.674097222203</v>
      </c>
      <c r="D30" s="2" t="s">
        <v>64</v>
      </c>
      <c r="E30" s="2"/>
      <c r="F30" s="2" t="s">
        <v>40</v>
      </c>
      <c r="G30" s="2" t="s">
        <v>238</v>
      </c>
      <c r="H30" s="2" t="s">
        <v>259</v>
      </c>
      <c r="I30" s="2" t="s">
        <v>67</v>
      </c>
      <c r="J30" t="s">
        <v>90</v>
      </c>
      <c r="K30" t="s">
        <v>91</v>
      </c>
      <c r="L30" s="2" t="s">
        <v>92</v>
      </c>
      <c r="M30" s="2" t="s">
        <v>114</v>
      </c>
      <c r="N30" s="2" t="s">
        <v>72</v>
      </c>
      <c r="O30" s="2" t="s">
        <v>317</v>
      </c>
      <c r="P30" s="2" t="s">
        <v>144</v>
      </c>
      <c r="Q30" s="2" t="s">
        <v>318</v>
      </c>
      <c r="R30" s="2" t="s">
        <v>319</v>
      </c>
      <c r="S30" s="2" t="s">
        <v>92</v>
      </c>
      <c r="T30" s="2" t="s">
        <v>114</v>
      </c>
      <c r="U30" s="2" t="s">
        <v>320</v>
      </c>
      <c r="V30" s="2" t="s">
        <v>225</v>
      </c>
      <c r="W30" s="2" t="s">
        <v>55</v>
      </c>
      <c r="X30" s="2" t="s">
        <v>131</v>
      </c>
      <c r="Y30" s="2" t="s">
        <v>321</v>
      </c>
      <c r="Z30" t="s">
        <v>322</v>
      </c>
      <c r="AA30" s="2" t="s">
        <v>55</v>
      </c>
      <c r="AB30" t="s">
        <v>55</v>
      </c>
      <c r="AC30" s="2" t="s">
        <v>187</v>
      </c>
      <c r="AD30" s="2" t="s">
        <v>60</v>
      </c>
      <c r="AE30" t="s">
        <v>122</v>
      </c>
      <c r="AF30" t="s">
        <v>81</v>
      </c>
      <c r="AG30" t="s">
        <v>107</v>
      </c>
      <c r="AH30" t="s">
        <v>215</v>
      </c>
      <c r="AI30" t="s">
        <v>109</v>
      </c>
      <c r="AJ30" t="s">
        <v>83</v>
      </c>
      <c r="AK30" s="2" t="s">
        <v>323</v>
      </c>
      <c r="AL30" s="2" t="s">
        <v>324</v>
      </c>
      <c r="AM30" s="2" t="s">
        <v>325</v>
      </c>
    </row>
    <row r="31" spans="1:39">
      <c r="A31">
        <v>30</v>
      </c>
      <c r="B31" s="1">
        <v>45761.4772337963</v>
      </c>
      <c r="C31" s="1">
        <v>45761.479328703703</v>
      </c>
      <c r="D31" s="2" t="s">
        <v>64</v>
      </c>
      <c r="E31" s="2"/>
      <c r="F31" s="2" t="s">
        <v>40</v>
      </c>
      <c r="G31" s="2" t="s">
        <v>326</v>
      </c>
      <c r="H31" s="2" t="s">
        <v>66</v>
      </c>
      <c r="I31" s="2" t="s">
        <v>43</v>
      </c>
      <c r="J31" t="s">
        <v>126</v>
      </c>
      <c r="K31" t="s">
        <v>91</v>
      </c>
      <c r="L31" s="2" t="s">
        <v>70</v>
      </c>
      <c r="M31" s="2" t="s">
        <v>52</v>
      </c>
      <c r="N31" s="2" t="s">
        <v>127</v>
      </c>
      <c r="O31" s="2" t="s">
        <v>156</v>
      </c>
      <c r="P31" s="2" t="s">
        <v>144</v>
      </c>
      <c r="Q31" s="2" t="s">
        <v>327</v>
      </c>
      <c r="R31" s="2" t="s">
        <v>75</v>
      </c>
      <c r="S31" s="2" t="s">
        <v>70</v>
      </c>
      <c r="T31" s="2" t="s">
        <v>45</v>
      </c>
      <c r="U31" s="2" t="s">
        <v>158</v>
      </c>
      <c r="V31" s="2" t="s">
        <v>147</v>
      </c>
      <c r="W31" s="2" t="s">
        <v>55</v>
      </c>
      <c r="X31" s="2" t="s">
        <v>56</v>
      </c>
      <c r="Y31" s="2" t="s">
        <v>176</v>
      </c>
      <c r="Z31" t="s">
        <v>133</v>
      </c>
      <c r="AA31" s="2" t="s">
        <v>58</v>
      </c>
      <c r="AB31" t="s">
        <v>150</v>
      </c>
      <c r="AC31" s="2" t="s">
        <v>59</v>
      </c>
      <c r="AD31" s="2" t="s">
        <v>60</v>
      </c>
      <c r="AE31" t="s">
        <v>80</v>
      </c>
      <c r="AF31" t="s">
        <v>81</v>
      </c>
      <c r="AG31" t="s">
        <v>107</v>
      </c>
      <c r="AH31" t="s">
        <v>215</v>
      </c>
      <c r="AI31" t="s">
        <v>109</v>
      </c>
      <c r="AJ31" t="s">
        <v>83</v>
      </c>
      <c r="AK31" s="2"/>
      <c r="AL31" s="2"/>
      <c r="AM31" s="2"/>
    </row>
    <row r="32" spans="1:39">
      <c r="A32">
        <v>31</v>
      </c>
      <c r="B32" s="1">
        <v>45762.615486111099</v>
      </c>
      <c r="C32" s="1">
        <v>45762.619467592602</v>
      </c>
      <c r="D32" s="2" t="s">
        <v>64</v>
      </c>
      <c r="E32" s="2"/>
      <c r="F32" s="2" t="s">
        <v>40</v>
      </c>
      <c r="G32" s="2" t="s">
        <v>191</v>
      </c>
      <c r="H32" s="2" t="s">
        <v>259</v>
      </c>
      <c r="I32" s="2" t="s">
        <v>328</v>
      </c>
      <c r="J32" t="s">
        <v>68</v>
      </c>
      <c r="K32" t="s">
        <v>91</v>
      </c>
      <c r="L32" s="2" t="s">
        <v>44</v>
      </c>
      <c r="M32" s="2" t="s">
        <v>114</v>
      </c>
      <c r="N32" s="2" t="s">
        <v>72</v>
      </c>
      <c r="O32" s="2" t="s">
        <v>165</v>
      </c>
      <c r="P32" s="2" t="s">
        <v>144</v>
      </c>
      <c r="Q32" s="2" t="s">
        <v>182</v>
      </c>
      <c r="R32" s="2" t="s">
        <v>167</v>
      </c>
      <c r="S32" s="2" t="s">
        <v>44</v>
      </c>
      <c r="T32" s="2" t="s">
        <v>71</v>
      </c>
      <c r="U32" s="2" t="s">
        <v>240</v>
      </c>
      <c r="V32" s="2" t="s">
        <v>196</v>
      </c>
      <c r="W32" s="2" t="s">
        <v>99</v>
      </c>
      <c r="X32" s="2" t="s">
        <v>131</v>
      </c>
      <c r="Y32" s="2" t="s">
        <v>329</v>
      </c>
      <c r="Z32" t="s">
        <v>313</v>
      </c>
      <c r="AA32" s="2" t="s">
        <v>103</v>
      </c>
      <c r="AB32" t="s">
        <v>55</v>
      </c>
      <c r="AC32" s="2" t="s">
        <v>59</v>
      </c>
      <c r="AD32" s="2" t="s">
        <v>60</v>
      </c>
      <c r="AE32" t="s">
        <v>122</v>
      </c>
      <c r="AF32" t="s">
        <v>81</v>
      </c>
      <c r="AG32" t="s">
        <v>136</v>
      </c>
      <c r="AH32" t="s">
        <v>108</v>
      </c>
      <c r="AI32" t="s">
        <v>109</v>
      </c>
      <c r="AJ32" t="s">
        <v>83</v>
      </c>
      <c r="AK32" s="2" t="s">
        <v>330</v>
      </c>
      <c r="AL32" s="3" t="s">
        <v>331</v>
      </c>
      <c r="AM32" s="2" t="s">
        <v>332</v>
      </c>
    </row>
    <row r="33" spans="1:39">
      <c r="A33">
        <v>32</v>
      </c>
      <c r="B33" s="1">
        <v>45762.668483796297</v>
      </c>
      <c r="C33" s="1">
        <v>45762.6707986111</v>
      </c>
      <c r="D33" s="2" t="s">
        <v>64</v>
      </c>
      <c r="E33" s="2"/>
      <c r="F33" s="2" t="s">
        <v>40</v>
      </c>
      <c r="G33" s="2" t="s">
        <v>113</v>
      </c>
      <c r="H33" s="2" t="s">
        <v>88</v>
      </c>
      <c r="I33" s="2" t="s">
        <v>43</v>
      </c>
      <c r="J33" t="s">
        <v>126</v>
      </c>
      <c r="K33" t="s">
        <v>69</v>
      </c>
      <c r="L33" s="2" t="s">
        <v>92</v>
      </c>
      <c r="M33" s="2" t="s">
        <v>52</v>
      </c>
      <c r="N33" s="2" t="s">
        <v>239</v>
      </c>
      <c r="O33" s="2" t="s">
        <v>156</v>
      </c>
      <c r="P33" s="2" t="s">
        <v>55</v>
      </c>
      <c r="Q33" s="2" t="s">
        <v>74</v>
      </c>
      <c r="R33" s="2" t="s">
        <v>157</v>
      </c>
      <c r="S33" s="2" t="s">
        <v>92</v>
      </c>
      <c r="T33" s="2" t="s">
        <v>45</v>
      </c>
      <c r="U33" s="2" t="s">
        <v>333</v>
      </c>
      <c r="V33" s="2" t="s">
        <v>169</v>
      </c>
      <c r="W33" s="2" t="s">
        <v>99</v>
      </c>
      <c r="X33" s="2" t="s">
        <v>100</v>
      </c>
      <c r="Y33" s="2" t="s">
        <v>334</v>
      </c>
      <c r="Z33" t="s">
        <v>335</v>
      </c>
      <c r="AA33" s="2" t="s">
        <v>103</v>
      </c>
      <c r="AB33" t="s">
        <v>103</v>
      </c>
      <c r="AC33" s="2" t="s">
        <v>187</v>
      </c>
      <c r="AD33" s="2" t="s">
        <v>105</v>
      </c>
      <c r="AE33" t="s">
        <v>106</v>
      </c>
      <c r="AF33" t="s">
        <v>80</v>
      </c>
      <c r="AG33" t="s">
        <v>80</v>
      </c>
      <c r="AH33" t="s">
        <v>80</v>
      </c>
      <c r="AI33" t="s">
        <v>109</v>
      </c>
      <c r="AJ33" t="s">
        <v>83</v>
      </c>
      <c r="AK33" s="2"/>
      <c r="AL33" s="2"/>
      <c r="AM33" s="2"/>
    </row>
    <row r="34" spans="1:39">
      <c r="A34">
        <v>33</v>
      </c>
      <c r="B34" s="1">
        <v>45762.695289351803</v>
      </c>
      <c r="C34" s="1">
        <v>45762.698587963001</v>
      </c>
      <c r="D34" s="2" t="s">
        <v>64</v>
      </c>
      <c r="E34" s="2"/>
      <c r="F34" s="2" t="s">
        <v>40</v>
      </c>
      <c r="G34" s="2" t="s">
        <v>336</v>
      </c>
      <c r="H34" s="2" t="s">
        <v>88</v>
      </c>
      <c r="I34" s="2" t="s">
        <v>67</v>
      </c>
      <c r="J34" t="s">
        <v>68</v>
      </c>
      <c r="K34" t="s">
        <v>91</v>
      </c>
      <c r="L34" s="2" t="s">
        <v>70</v>
      </c>
      <c r="M34" s="2" t="s">
        <v>71</v>
      </c>
      <c r="N34" s="2" t="s">
        <v>337</v>
      </c>
      <c r="O34" s="2" t="s">
        <v>338</v>
      </c>
      <c r="P34" s="2" t="s">
        <v>144</v>
      </c>
      <c r="Q34" s="2" t="s">
        <v>339</v>
      </c>
      <c r="R34" s="2" t="s">
        <v>145</v>
      </c>
      <c r="S34" s="2" t="s">
        <v>70</v>
      </c>
      <c r="T34" s="2" t="s">
        <v>71</v>
      </c>
      <c r="U34" s="2" t="s">
        <v>117</v>
      </c>
      <c r="V34" s="2" t="s">
        <v>77</v>
      </c>
      <c r="W34" s="2" t="s">
        <v>48</v>
      </c>
      <c r="X34" s="2" t="s">
        <v>100</v>
      </c>
      <c r="Y34" s="2" t="s">
        <v>176</v>
      </c>
      <c r="Z34" t="s">
        <v>133</v>
      </c>
      <c r="AA34" s="2" t="s">
        <v>58</v>
      </c>
      <c r="AB34" t="s">
        <v>103</v>
      </c>
      <c r="AC34" s="2" t="s">
        <v>187</v>
      </c>
      <c r="AD34" s="2" t="s">
        <v>135</v>
      </c>
      <c r="AE34" t="s">
        <v>80</v>
      </c>
      <c r="AF34" t="s">
        <v>81</v>
      </c>
      <c r="AG34" t="s">
        <v>80</v>
      </c>
      <c r="AH34" t="s">
        <v>80</v>
      </c>
      <c r="AI34" t="s">
        <v>109</v>
      </c>
      <c r="AJ34" t="s">
        <v>197</v>
      </c>
      <c r="AK34" s="2" t="s">
        <v>340</v>
      </c>
      <c r="AL34" s="2"/>
      <c r="AM34" s="2"/>
    </row>
    <row r="35" spans="1:39">
      <c r="A35">
        <v>34</v>
      </c>
      <c r="B35" s="1">
        <v>45762.867719907401</v>
      </c>
      <c r="C35" s="1">
        <v>45762.872673611098</v>
      </c>
      <c r="D35" s="2" t="s">
        <v>64</v>
      </c>
      <c r="E35" s="2"/>
      <c r="F35" s="2" t="s">
        <v>40</v>
      </c>
      <c r="G35" s="2" t="s">
        <v>113</v>
      </c>
      <c r="H35" s="2" t="s">
        <v>66</v>
      </c>
      <c r="I35" s="2" t="s">
        <v>67</v>
      </c>
      <c r="J35" t="s">
        <v>68</v>
      </c>
      <c r="K35" t="s">
        <v>91</v>
      </c>
      <c r="L35" s="2" t="s">
        <v>92</v>
      </c>
      <c r="M35" s="2" t="s">
        <v>71</v>
      </c>
      <c r="N35" s="2" t="s">
        <v>164</v>
      </c>
      <c r="O35" s="2" t="s">
        <v>128</v>
      </c>
      <c r="P35" s="2" t="s">
        <v>55</v>
      </c>
      <c r="Q35" s="2" t="s">
        <v>341</v>
      </c>
      <c r="R35" s="2" t="s">
        <v>204</v>
      </c>
      <c r="S35" s="2" t="s">
        <v>92</v>
      </c>
      <c r="T35" s="2" t="s">
        <v>71</v>
      </c>
      <c r="U35" s="2" t="s">
        <v>277</v>
      </c>
      <c r="V35" s="2" t="s">
        <v>98</v>
      </c>
      <c r="W35" s="2" t="s">
        <v>99</v>
      </c>
      <c r="X35" s="2" t="s">
        <v>131</v>
      </c>
      <c r="Y35" s="2" t="s">
        <v>214</v>
      </c>
      <c r="Z35" t="s">
        <v>342</v>
      </c>
      <c r="AA35" s="2" t="s">
        <v>58</v>
      </c>
      <c r="AB35" t="s">
        <v>103</v>
      </c>
      <c r="AC35" s="2" t="s">
        <v>134</v>
      </c>
      <c r="AD35" s="2" t="s">
        <v>135</v>
      </c>
      <c r="AE35" t="s">
        <v>122</v>
      </c>
      <c r="AF35" t="s">
        <v>81</v>
      </c>
      <c r="AG35" t="s">
        <v>136</v>
      </c>
      <c r="AH35" t="s">
        <v>108</v>
      </c>
      <c r="AI35" t="s">
        <v>109</v>
      </c>
      <c r="AJ35" t="s">
        <v>83</v>
      </c>
      <c r="AK35" s="2"/>
      <c r="AL35" s="2"/>
      <c r="AM35" s="2"/>
    </row>
    <row r="36" spans="1:39">
      <c r="A36">
        <v>35</v>
      </c>
      <c r="B36" s="1">
        <v>45763.805509259299</v>
      </c>
      <c r="C36" s="1">
        <v>45763.807152777801</v>
      </c>
      <c r="D36" s="2" t="s">
        <v>64</v>
      </c>
      <c r="E36" s="2"/>
      <c r="F36" s="2" t="s">
        <v>40</v>
      </c>
      <c r="G36" s="2" t="s">
        <v>258</v>
      </c>
      <c r="H36" s="2" t="s">
        <v>66</v>
      </c>
      <c r="I36" s="2" t="s">
        <v>67</v>
      </c>
      <c r="J36" t="s">
        <v>90</v>
      </c>
      <c r="K36" t="s">
        <v>91</v>
      </c>
      <c r="L36" s="2" t="s">
        <v>92</v>
      </c>
      <c r="M36" s="2" t="s">
        <v>114</v>
      </c>
      <c r="N36" s="2" t="s">
        <v>72</v>
      </c>
      <c r="O36" s="2" t="s">
        <v>128</v>
      </c>
      <c r="P36" s="2" t="s">
        <v>144</v>
      </c>
      <c r="Q36" s="2" t="s">
        <v>74</v>
      </c>
      <c r="R36" s="2" t="s">
        <v>145</v>
      </c>
      <c r="S36" s="2" t="s">
        <v>92</v>
      </c>
      <c r="T36" s="2" t="s">
        <v>52</v>
      </c>
      <c r="U36" s="2" t="s">
        <v>117</v>
      </c>
      <c r="V36" s="2" t="s">
        <v>169</v>
      </c>
      <c r="W36" s="2" t="s">
        <v>48</v>
      </c>
      <c r="X36" s="2" t="s">
        <v>131</v>
      </c>
      <c r="Y36" s="2" t="s">
        <v>101</v>
      </c>
      <c r="Z36" t="s">
        <v>102</v>
      </c>
      <c r="AA36" s="2" t="s">
        <v>58</v>
      </c>
      <c r="AB36" t="s">
        <v>103</v>
      </c>
      <c r="AC36" s="2" t="s">
        <v>187</v>
      </c>
      <c r="AD36" s="2" t="s">
        <v>135</v>
      </c>
      <c r="AE36" t="s">
        <v>122</v>
      </c>
      <c r="AF36" t="s">
        <v>81</v>
      </c>
      <c r="AG36" t="s">
        <v>136</v>
      </c>
      <c r="AH36" t="s">
        <v>108</v>
      </c>
      <c r="AI36" t="s">
        <v>82</v>
      </c>
      <c r="AJ36" t="s">
        <v>110</v>
      </c>
      <c r="AK36" s="2"/>
      <c r="AL36" s="2"/>
      <c r="AM36" s="2"/>
    </row>
    <row r="37" spans="1:39">
      <c r="A37">
        <v>36</v>
      </c>
      <c r="B37" s="1">
        <v>45776.397071759297</v>
      </c>
      <c r="C37" s="1">
        <v>45776.4005092593</v>
      </c>
      <c r="D37" s="2" t="s">
        <v>64</v>
      </c>
      <c r="E37" s="2"/>
      <c r="F37" s="2" t="s">
        <v>140</v>
      </c>
      <c r="G37" s="2" t="s">
        <v>163</v>
      </c>
      <c r="H37" s="2" t="s">
        <v>259</v>
      </c>
      <c r="I37" s="2" t="s">
        <v>89</v>
      </c>
      <c r="J37" t="s">
        <v>126</v>
      </c>
      <c r="K37" t="s">
        <v>69</v>
      </c>
      <c r="L37" s="2" t="s">
        <v>44</v>
      </c>
      <c r="M37" s="2" t="s">
        <v>45</v>
      </c>
      <c r="N37" s="2" t="s">
        <v>164</v>
      </c>
      <c r="O37" s="2" t="s">
        <v>156</v>
      </c>
      <c r="P37" s="2" t="s">
        <v>144</v>
      </c>
      <c r="Q37" s="2" t="s">
        <v>343</v>
      </c>
      <c r="R37" s="2" t="s">
        <v>145</v>
      </c>
      <c r="S37" s="2" t="s">
        <v>44</v>
      </c>
      <c r="T37" s="2" t="s">
        <v>52</v>
      </c>
      <c r="U37" s="2" t="s">
        <v>117</v>
      </c>
      <c r="V37" s="2" t="s">
        <v>147</v>
      </c>
      <c r="W37" s="2" t="s">
        <v>99</v>
      </c>
      <c r="X37" s="2" t="s">
        <v>131</v>
      </c>
      <c r="Y37" s="2" t="s">
        <v>185</v>
      </c>
      <c r="Z37" t="s">
        <v>133</v>
      </c>
      <c r="AA37" s="2" t="s">
        <v>103</v>
      </c>
      <c r="AB37" t="s">
        <v>55</v>
      </c>
      <c r="AC37" s="2" t="s">
        <v>59</v>
      </c>
      <c r="AD37" s="2" t="s">
        <v>60</v>
      </c>
      <c r="AE37" t="s">
        <v>122</v>
      </c>
      <c r="AF37" t="s">
        <v>81</v>
      </c>
      <c r="AG37" t="s">
        <v>80</v>
      </c>
      <c r="AH37" t="s">
        <v>80</v>
      </c>
      <c r="AI37" t="s">
        <v>80</v>
      </c>
      <c r="AJ37" t="s">
        <v>110</v>
      </c>
      <c r="AK37" s="2"/>
      <c r="AL37" s="2"/>
      <c r="AM37" s="2"/>
    </row>
    <row r="38" spans="1:39">
      <c r="A38">
        <v>37</v>
      </c>
      <c r="B38" s="1">
        <v>45776.426770833299</v>
      </c>
      <c r="C38" s="1">
        <v>45776.431446759299</v>
      </c>
      <c r="D38" s="2" t="s">
        <v>64</v>
      </c>
      <c r="E38" s="2"/>
      <c r="F38" s="2" t="s">
        <v>140</v>
      </c>
      <c r="G38" s="2" t="s">
        <v>113</v>
      </c>
      <c r="H38" s="2" t="s">
        <v>88</v>
      </c>
      <c r="I38" s="2" t="s">
        <v>89</v>
      </c>
      <c r="J38" t="s">
        <v>126</v>
      </c>
      <c r="K38" t="s">
        <v>69</v>
      </c>
      <c r="L38" s="2" t="s">
        <v>44</v>
      </c>
      <c r="M38" s="2" t="s">
        <v>71</v>
      </c>
      <c r="N38" s="2" t="s">
        <v>127</v>
      </c>
      <c r="O38" s="2" t="s">
        <v>128</v>
      </c>
      <c r="P38" s="2" t="s">
        <v>55</v>
      </c>
      <c r="Q38" s="2" t="s">
        <v>182</v>
      </c>
      <c r="R38" s="2" t="s">
        <v>145</v>
      </c>
      <c r="S38" s="2" t="s">
        <v>70</v>
      </c>
      <c r="T38" s="2" t="s">
        <v>71</v>
      </c>
      <c r="U38" s="2" t="s">
        <v>240</v>
      </c>
      <c r="V38" s="2" t="s">
        <v>184</v>
      </c>
      <c r="W38" s="2" t="s">
        <v>99</v>
      </c>
      <c r="X38" s="2" t="s">
        <v>100</v>
      </c>
      <c r="Y38" s="2" t="s">
        <v>226</v>
      </c>
      <c r="Z38" t="s">
        <v>313</v>
      </c>
      <c r="AA38" s="2" t="s">
        <v>55</v>
      </c>
      <c r="AB38" t="s">
        <v>55</v>
      </c>
      <c r="AC38" s="2" t="s">
        <v>134</v>
      </c>
      <c r="AD38" s="2" t="s">
        <v>135</v>
      </c>
      <c r="AE38" t="s">
        <v>122</v>
      </c>
      <c r="AF38" t="s">
        <v>81</v>
      </c>
      <c r="AG38" t="s">
        <v>80</v>
      </c>
      <c r="AH38" t="s">
        <v>108</v>
      </c>
      <c r="AI38" t="s">
        <v>109</v>
      </c>
      <c r="AJ38" t="s">
        <v>110</v>
      </c>
      <c r="AK38" s="2"/>
      <c r="AL38" s="2"/>
      <c r="AM38" s="2"/>
    </row>
    <row r="39" spans="1:39">
      <c r="A39">
        <v>38</v>
      </c>
      <c r="B39" s="1">
        <v>45790.866539351897</v>
      </c>
      <c r="C39" s="1">
        <v>45790.869629629597</v>
      </c>
      <c r="D39" s="2" t="s">
        <v>64</v>
      </c>
      <c r="E39" s="2"/>
      <c r="F39" s="2" t="s">
        <v>40</v>
      </c>
      <c r="G39" s="2" t="s">
        <v>113</v>
      </c>
      <c r="H39" s="2" t="s">
        <v>88</v>
      </c>
      <c r="I39" s="2" t="s">
        <v>67</v>
      </c>
      <c r="J39" t="s">
        <v>126</v>
      </c>
      <c r="K39" t="s">
        <v>142</v>
      </c>
      <c r="L39" s="2" t="s">
        <v>70</v>
      </c>
      <c r="M39" s="2" t="s">
        <v>52</v>
      </c>
      <c r="N39" s="2" t="s">
        <v>115</v>
      </c>
      <c r="O39" s="2" t="s">
        <v>143</v>
      </c>
      <c r="P39" s="2" t="s">
        <v>144</v>
      </c>
      <c r="Q39" s="2" t="s">
        <v>344</v>
      </c>
      <c r="R39" s="2" t="s">
        <v>194</v>
      </c>
      <c r="S39" s="2" t="s">
        <v>70</v>
      </c>
      <c r="T39" s="2" t="s">
        <v>114</v>
      </c>
      <c r="U39" s="2" t="s">
        <v>183</v>
      </c>
      <c r="V39" s="2" t="s">
        <v>233</v>
      </c>
      <c r="W39" s="2" t="s">
        <v>48</v>
      </c>
      <c r="X39" s="2" t="s">
        <v>131</v>
      </c>
      <c r="Y39" s="2" t="s">
        <v>78</v>
      </c>
      <c r="Z39" t="s">
        <v>149</v>
      </c>
      <c r="AA39" s="2" t="s">
        <v>55</v>
      </c>
      <c r="AB39" t="s">
        <v>55</v>
      </c>
      <c r="AC39" s="2" t="s">
        <v>187</v>
      </c>
      <c r="AD39" s="2" t="s">
        <v>135</v>
      </c>
      <c r="AE39" t="s">
        <v>80</v>
      </c>
      <c r="AF39" t="s">
        <v>81</v>
      </c>
      <c r="AG39" t="s">
        <v>136</v>
      </c>
      <c r="AH39" t="s">
        <v>80</v>
      </c>
      <c r="AI39" t="s">
        <v>109</v>
      </c>
      <c r="AJ39" t="s">
        <v>83</v>
      </c>
      <c r="AK39" s="2"/>
      <c r="AL39" s="2"/>
      <c r="AM39" s="2"/>
    </row>
    <row r="40" spans="1:39">
      <c r="A40">
        <v>39</v>
      </c>
      <c r="B40" s="1">
        <v>45790.885416666701</v>
      </c>
      <c r="C40" s="1">
        <v>45790.889062499999</v>
      </c>
      <c r="D40" s="2" t="s">
        <v>64</v>
      </c>
      <c r="E40" s="2"/>
      <c r="F40" s="2" t="s">
        <v>40</v>
      </c>
      <c r="G40" s="2" t="s">
        <v>191</v>
      </c>
      <c r="H40" s="2" t="s">
        <v>66</v>
      </c>
      <c r="I40" s="2" t="s">
        <v>67</v>
      </c>
      <c r="J40" t="s">
        <v>126</v>
      </c>
      <c r="K40" t="s">
        <v>91</v>
      </c>
      <c r="L40" s="2" t="s">
        <v>92</v>
      </c>
      <c r="M40" s="2" t="s">
        <v>52</v>
      </c>
      <c r="N40" s="2" t="s">
        <v>303</v>
      </c>
      <c r="O40" s="2" t="s">
        <v>128</v>
      </c>
      <c r="P40" s="2" t="s">
        <v>48</v>
      </c>
      <c r="Q40" s="2" t="s">
        <v>249</v>
      </c>
      <c r="R40" s="2" t="s">
        <v>145</v>
      </c>
      <c r="S40" s="2" t="s">
        <v>92</v>
      </c>
      <c r="T40" s="2" t="s">
        <v>114</v>
      </c>
      <c r="U40" s="2" t="s">
        <v>183</v>
      </c>
      <c r="V40" s="2" t="s">
        <v>98</v>
      </c>
      <c r="W40" s="2" t="s">
        <v>99</v>
      </c>
      <c r="X40" s="2" t="s">
        <v>131</v>
      </c>
      <c r="Y40" s="2" t="s">
        <v>345</v>
      </c>
      <c r="Z40" t="s">
        <v>227</v>
      </c>
      <c r="AA40" s="2" t="s">
        <v>103</v>
      </c>
      <c r="AB40" t="s">
        <v>150</v>
      </c>
      <c r="AC40" s="2" t="s">
        <v>59</v>
      </c>
      <c r="AD40" s="2" t="s">
        <v>135</v>
      </c>
      <c r="AE40" t="s">
        <v>122</v>
      </c>
      <c r="AF40" t="s">
        <v>81</v>
      </c>
      <c r="AG40" t="s">
        <v>80</v>
      </c>
      <c r="AH40" t="s">
        <v>80</v>
      </c>
      <c r="AI40" t="s">
        <v>109</v>
      </c>
      <c r="AJ40" t="s">
        <v>83</v>
      </c>
      <c r="AK40" s="2"/>
      <c r="AL40" s="2"/>
      <c r="AM40" s="2"/>
    </row>
    <row r="41" spans="1:39">
      <c r="A41">
        <v>40</v>
      </c>
      <c r="B41" s="1">
        <v>45917.5011689815</v>
      </c>
      <c r="C41" s="1">
        <v>45917.511273148099</v>
      </c>
      <c r="D41" s="2" t="s">
        <v>64</v>
      </c>
      <c r="E41" s="2"/>
      <c r="F41" s="2" t="s">
        <v>40</v>
      </c>
      <c r="G41" s="2" t="s">
        <v>191</v>
      </c>
      <c r="H41" s="2" t="s">
        <v>154</v>
      </c>
      <c r="I41" s="2" t="s">
        <v>43</v>
      </c>
      <c r="J41" t="s">
        <v>68</v>
      </c>
      <c r="K41" t="s">
        <v>91</v>
      </c>
      <c r="L41" s="2" t="s">
        <v>70</v>
      </c>
      <c r="M41" s="2" t="s">
        <v>71</v>
      </c>
      <c r="N41" s="2" t="s">
        <v>346</v>
      </c>
      <c r="O41" s="2" t="s">
        <v>347</v>
      </c>
      <c r="P41" s="2" t="s">
        <v>144</v>
      </c>
      <c r="Q41" s="2" t="s">
        <v>182</v>
      </c>
      <c r="R41" s="2" t="s">
        <v>96</v>
      </c>
      <c r="S41" s="2" t="s">
        <v>70</v>
      </c>
      <c r="T41" s="2" t="s">
        <v>114</v>
      </c>
      <c r="U41" s="2" t="s">
        <v>158</v>
      </c>
      <c r="V41" s="2" t="s">
        <v>348</v>
      </c>
      <c r="W41" s="2" t="s">
        <v>48</v>
      </c>
      <c r="X41" s="2" t="s">
        <v>100</v>
      </c>
      <c r="Y41" s="2" t="s">
        <v>349</v>
      </c>
      <c r="Z41" t="s">
        <v>133</v>
      </c>
      <c r="AA41" s="2" t="s">
        <v>103</v>
      </c>
      <c r="AB41" t="s">
        <v>103</v>
      </c>
      <c r="AC41" s="2" t="s">
        <v>187</v>
      </c>
      <c r="AD41" s="2" t="s">
        <v>135</v>
      </c>
      <c r="AE41" t="s">
        <v>122</v>
      </c>
      <c r="AF41" t="s">
        <v>80</v>
      </c>
      <c r="AG41" t="s">
        <v>80</v>
      </c>
      <c r="AH41" t="s">
        <v>80</v>
      </c>
      <c r="AI41" t="s">
        <v>109</v>
      </c>
      <c r="AJ41" t="s">
        <v>110</v>
      </c>
      <c r="AK41" s="2" t="s">
        <v>350</v>
      </c>
      <c r="AL41" s="2" t="s">
        <v>350</v>
      </c>
      <c r="AM41" s="2" t="s">
        <v>350</v>
      </c>
    </row>
    <row r="42" spans="1:39">
      <c r="A42">
        <v>41</v>
      </c>
      <c r="B42" s="1">
        <v>45917.506840277798</v>
      </c>
      <c r="C42" s="1">
        <v>45917.511921296304</v>
      </c>
      <c r="D42" s="2" t="s">
        <v>64</v>
      </c>
      <c r="E42" s="2"/>
      <c r="F42" s="2" t="s">
        <v>40</v>
      </c>
      <c r="G42" s="2" t="s">
        <v>113</v>
      </c>
      <c r="H42" s="2" t="s">
        <v>88</v>
      </c>
      <c r="I42" s="2" t="s">
        <v>89</v>
      </c>
      <c r="J42" t="s">
        <v>68</v>
      </c>
      <c r="K42" t="s">
        <v>91</v>
      </c>
      <c r="L42" s="2" t="s">
        <v>70</v>
      </c>
      <c r="M42" s="2" t="s">
        <v>45</v>
      </c>
      <c r="N42" s="2" t="s">
        <v>72</v>
      </c>
      <c r="O42" s="2" t="s">
        <v>156</v>
      </c>
      <c r="P42" s="2" t="s">
        <v>48</v>
      </c>
      <c r="Q42" s="2" t="s">
        <v>74</v>
      </c>
      <c r="R42" s="2" t="s">
        <v>75</v>
      </c>
      <c r="S42" s="2" t="s">
        <v>70</v>
      </c>
      <c r="T42" s="2" t="s">
        <v>93</v>
      </c>
      <c r="U42" s="2" t="s">
        <v>240</v>
      </c>
      <c r="V42" s="2" t="s">
        <v>118</v>
      </c>
      <c r="W42" s="2" t="s">
        <v>99</v>
      </c>
      <c r="X42" s="2" t="s">
        <v>56</v>
      </c>
      <c r="Y42" s="2" t="s">
        <v>351</v>
      </c>
      <c r="Z42" t="s">
        <v>102</v>
      </c>
      <c r="AA42" s="2" t="s">
        <v>58</v>
      </c>
      <c r="AB42" t="s">
        <v>150</v>
      </c>
      <c r="AC42" s="2" t="s">
        <v>187</v>
      </c>
      <c r="AD42" s="2" t="s">
        <v>60</v>
      </c>
      <c r="AE42" t="s">
        <v>122</v>
      </c>
      <c r="AF42" t="s">
        <v>81</v>
      </c>
      <c r="AG42" t="s">
        <v>80</v>
      </c>
      <c r="AH42" t="s">
        <v>108</v>
      </c>
      <c r="AI42" t="s">
        <v>109</v>
      </c>
      <c r="AJ42" t="s">
        <v>83</v>
      </c>
      <c r="AK42" s="2" t="s">
        <v>352</v>
      </c>
      <c r="AL42" s="2"/>
      <c r="AM42" s="2"/>
    </row>
    <row r="43" spans="1:39">
      <c r="A43">
        <v>42</v>
      </c>
      <c r="B43" s="1">
        <v>45917.506574074097</v>
      </c>
      <c r="C43" s="1">
        <v>45917.513819444401</v>
      </c>
      <c r="D43" s="2" t="s">
        <v>64</v>
      </c>
      <c r="E43" s="2"/>
      <c r="F43" s="2" t="s">
        <v>40</v>
      </c>
      <c r="G43" s="2" t="s">
        <v>353</v>
      </c>
      <c r="H43" s="2" t="s">
        <v>88</v>
      </c>
      <c r="I43" s="2" t="s">
        <v>89</v>
      </c>
      <c r="J43" t="s">
        <v>68</v>
      </c>
      <c r="K43" t="s">
        <v>91</v>
      </c>
      <c r="L43" s="2" t="s">
        <v>70</v>
      </c>
      <c r="M43" s="2" t="s">
        <v>45</v>
      </c>
      <c r="N43" s="2" t="s">
        <v>72</v>
      </c>
      <c r="O43" s="2" t="s">
        <v>128</v>
      </c>
      <c r="P43" s="2" t="s">
        <v>144</v>
      </c>
      <c r="Q43" s="2" t="s">
        <v>74</v>
      </c>
      <c r="R43" s="2" t="s">
        <v>167</v>
      </c>
      <c r="S43" s="2" t="s">
        <v>70</v>
      </c>
      <c r="T43" s="2" t="s">
        <v>93</v>
      </c>
      <c r="U43" s="2" t="s">
        <v>183</v>
      </c>
      <c r="V43" s="2" t="s">
        <v>77</v>
      </c>
      <c r="W43" s="2" t="s">
        <v>48</v>
      </c>
      <c r="X43" s="2" t="s">
        <v>56</v>
      </c>
      <c r="Y43" s="2" t="s">
        <v>354</v>
      </c>
      <c r="Z43" t="s">
        <v>133</v>
      </c>
      <c r="AA43" s="2" t="s">
        <v>103</v>
      </c>
      <c r="AB43" t="s">
        <v>150</v>
      </c>
      <c r="AC43" s="2" t="s">
        <v>134</v>
      </c>
      <c r="AD43" s="2" t="s">
        <v>60</v>
      </c>
      <c r="AE43" t="s">
        <v>122</v>
      </c>
      <c r="AF43" t="s">
        <v>228</v>
      </c>
      <c r="AG43" t="s">
        <v>80</v>
      </c>
      <c r="AH43" t="s">
        <v>108</v>
      </c>
      <c r="AI43" t="s">
        <v>109</v>
      </c>
      <c r="AJ43" t="s">
        <v>110</v>
      </c>
      <c r="AK43" s="2" t="s">
        <v>355</v>
      </c>
      <c r="AL43" s="2" t="s">
        <v>356</v>
      </c>
      <c r="AM43" s="2" t="s">
        <v>357</v>
      </c>
    </row>
    <row r="44" spans="1:39">
      <c r="A44">
        <v>43</v>
      </c>
      <c r="B44" s="1">
        <v>45917.529918981498</v>
      </c>
      <c r="C44" s="1">
        <v>45917.534293981502</v>
      </c>
      <c r="D44" s="2" t="s">
        <v>64</v>
      </c>
      <c r="E44" s="2"/>
      <c r="F44" s="2" t="s">
        <v>40</v>
      </c>
      <c r="G44" s="2" t="s">
        <v>200</v>
      </c>
      <c r="H44" s="2" t="s">
        <v>154</v>
      </c>
      <c r="I44" s="2" t="s">
        <v>43</v>
      </c>
      <c r="J44" t="s">
        <v>68</v>
      </c>
      <c r="K44" t="s">
        <v>91</v>
      </c>
      <c r="L44" s="2" t="s">
        <v>92</v>
      </c>
      <c r="M44" s="2" t="s">
        <v>52</v>
      </c>
      <c r="N44" s="2" t="s">
        <v>358</v>
      </c>
      <c r="O44" s="2" t="s">
        <v>156</v>
      </c>
      <c r="P44" s="2" t="s">
        <v>144</v>
      </c>
      <c r="Q44" s="2" t="s">
        <v>74</v>
      </c>
      <c r="R44" s="2" t="s">
        <v>359</v>
      </c>
      <c r="S44" s="2" t="s">
        <v>92</v>
      </c>
      <c r="T44" s="2" t="s">
        <v>45</v>
      </c>
      <c r="U44" s="2" t="s">
        <v>158</v>
      </c>
      <c r="V44" s="2" t="s">
        <v>169</v>
      </c>
      <c r="W44" s="2" t="s">
        <v>48</v>
      </c>
      <c r="X44" s="2" t="s">
        <v>100</v>
      </c>
      <c r="Y44" s="2" t="s">
        <v>360</v>
      </c>
      <c r="Z44" t="s">
        <v>342</v>
      </c>
      <c r="AA44" s="2" t="s">
        <v>103</v>
      </c>
      <c r="AB44" t="s">
        <v>55</v>
      </c>
      <c r="AC44" s="2" t="s">
        <v>59</v>
      </c>
      <c r="AD44" s="2" t="s">
        <v>105</v>
      </c>
      <c r="AE44" t="s">
        <v>80</v>
      </c>
      <c r="AF44" t="s">
        <v>80</v>
      </c>
      <c r="AG44" t="s">
        <v>136</v>
      </c>
      <c r="AH44" t="s">
        <v>80</v>
      </c>
      <c r="AI44" t="s">
        <v>109</v>
      </c>
      <c r="AJ44" t="s">
        <v>83</v>
      </c>
      <c r="AK44" s="2" t="s">
        <v>361</v>
      </c>
      <c r="AL44" s="2" t="s">
        <v>362</v>
      </c>
      <c r="AM44" s="2" t="s">
        <v>363</v>
      </c>
    </row>
    <row r="45" spans="1:39">
      <c r="A45">
        <v>44</v>
      </c>
      <c r="B45" s="1">
        <v>45917.598541666703</v>
      </c>
      <c r="C45" s="1">
        <v>45917.601979166699</v>
      </c>
      <c r="D45" s="2" t="s">
        <v>64</v>
      </c>
      <c r="E45" s="2"/>
      <c r="F45" s="2" t="s">
        <v>40</v>
      </c>
      <c r="G45" s="2" t="s">
        <v>191</v>
      </c>
      <c r="H45" s="2" t="s">
        <v>154</v>
      </c>
      <c r="I45" s="2" t="s">
        <v>89</v>
      </c>
      <c r="J45" t="s">
        <v>68</v>
      </c>
      <c r="K45" t="s">
        <v>91</v>
      </c>
      <c r="L45" s="2" t="s">
        <v>70</v>
      </c>
      <c r="M45" s="2" t="s">
        <v>45</v>
      </c>
      <c r="N45" s="2" t="s">
        <v>181</v>
      </c>
      <c r="O45" s="2" t="s">
        <v>165</v>
      </c>
      <c r="P45" s="2" t="s">
        <v>48</v>
      </c>
      <c r="Q45" s="2" t="s">
        <v>74</v>
      </c>
      <c r="R45" s="2" t="s">
        <v>167</v>
      </c>
      <c r="S45" s="2" t="s">
        <v>70</v>
      </c>
      <c r="T45" s="2" t="s">
        <v>52</v>
      </c>
      <c r="U45" s="2" t="s">
        <v>117</v>
      </c>
      <c r="V45" s="2" t="s">
        <v>118</v>
      </c>
      <c r="W45" s="2" t="s">
        <v>99</v>
      </c>
      <c r="X45" s="2" t="s">
        <v>56</v>
      </c>
      <c r="Y45" s="2" t="s">
        <v>214</v>
      </c>
      <c r="Z45" t="s">
        <v>133</v>
      </c>
      <c r="AA45" s="2" t="s">
        <v>58</v>
      </c>
      <c r="AB45" t="s">
        <v>121</v>
      </c>
      <c r="AC45" s="2" t="s">
        <v>59</v>
      </c>
      <c r="AD45" s="2" t="s">
        <v>60</v>
      </c>
      <c r="AE45" t="s">
        <v>80</v>
      </c>
      <c r="AF45" t="s">
        <v>81</v>
      </c>
      <c r="AG45" t="s">
        <v>136</v>
      </c>
      <c r="AH45" t="s">
        <v>80</v>
      </c>
      <c r="AI45" t="s">
        <v>80</v>
      </c>
      <c r="AJ45" t="s">
        <v>197</v>
      </c>
      <c r="AK45" s="2" t="s">
        <v>364</v>
      </c>
      <c r="AL45" s="2" t="s">
        <v>365</v>
      </c>
      <c r="AM45" s="2" t="s">
        <v>366</v>
      </c>
    </row>
    <row r="46" spans="1:39">
      <c r="A46">
        <v>45</v>
      </c>
      <c r="B46" s="1">
        <v>45917.604699074102</v>
      </c>
      <c r="C46" s="1">
        <v>45917.6089699074</v>
      </c>
      <c r="D46" s="2" t="s">
        <v>64</v>
      </c>
      <c r="E46" s="2"/>
      <c r="F46" s="2" t="s">
        <v>40</v>
      </c>
      <c r="G46" s="2" t="s">
        <v>191</v>
      </c>
      <c r="H46" s="2" t="s">
        <v>154</v>
      </c>
      <c r="I46" s="2" t="s">
        <v>43</v>
      </c>
      <c r="J46" t="s">
        <v>90</v>
      </c>
      <c r="K46" t="s">
        <v>91</v>
      </c>
      <c r="L46" s="2" t="s">
        <v>70</v>
      </c>
      <c r="M46" s="2" t="s">
        <v>45</v>
      </c>
      <c r="N46" s="2" t="s">
        <v>115</v>
      </c>
      <c r="O46" s="2" t="s">
        <v>73</v>
      </c>
      <c r="P46" s="2" t="s">
        <v>144</v>
      </c>
      <c r="Q46" s="2" t="s">
        <v>74</v>
      </c>
      <c r="R46" s="2" t="s">
        <v>75</v>
      </c>
      <c r="S46" s="2" t="s">
        <v>70</v>
      </c>
      <c r="T46" s="2" t="s">
        <v>52</v>
      </c>
      <c r="U46" s="2" t="s">
        <v>240</v>
      </c>
      <c r="V46" s="2" t="s">
        <v>367</v>
      </c>
      <c r="W46" s="2" t="s">
        <v>55</v>
      </c>
      <c r="X46" s="2" t="s">
        <v>56</v>
      </c>
      <c r="Y46" s="2" t="s">
        <v>368</v>
      </c>
      <c r="Z46" t="s">
        <v>186</v>
      </c>
      <c r="AA46" s="2" t="s">
        <v>58</v>
      </c>
      <c r="AB46" t="s">
        <v>150</v>
      </c>
      <c r="AC46" s="2" t="s">
        <v>59</v>
      </c>
      <c r="AD46" s="2" t="s">
        <v>60</v>
      </c>
      <c r="AE46" t="s">
        <v>122</v>
      </c>
      <c r="AF46" t="s">
        <v>80</v>
      </c>
      <c r="AG46" t="s">
        <v>136</v>
      </c>
      <c r="AH46" t="s">
        <v>80</v>
      </c>
      <c r="AI46" t="s">
        <v>109</v>
      </c>
      <c r="AJ46" t="s">
        <v>83</v>
      </c>
      <c r="AK46" s="2" t="s">
        <v>369</v>
      </c>
      <c r="AL46" s="2" t="s">
        <v>370</v>
      </c>
      <c r="AM46" s="2" t="s">
        <v>371</v>
      </c>
    </row>
    <row r="47" spans="1:39">
      <c r="A47">
        <v>46</v>
      </c>
      <c r="B47" s="1">
        <v>45918.296284722201</v>
      </c>
      <c r="C47" s="1">
        <v>45918.301064814797</v>
      </c>
      <c r="D47" s="2" t="s">
        <v>64</v>
      </c>
      <c r="E47" s="2"/>
      <c r="F47" s="2" t="s">
        <v>40</v>
      </c>
      <c r="G47" s="2" t="s">
        <v>141</v>
      </c>
      <c r="H47" s="2" t="s">
        <v>154</v>
      </c>
      <c r="I47" s="2" t="s">
        <v>89</v>
      </c>
      <c r="J47" t="s">
        <v>68</v>
      </c>
      <c r="K47" t="s">
        <v>91</v>
      </c>
      <c r="L47" s="2" t="s">
        <v>70</v>
      </c>
      <c r="M47" s="2" t="s">
        <v>71</v>
      </c>
      <c r="N47" s="2" t="s">
        <v>372</v>
      </c>
      <c r="O47" s="2" t="s">
        <v>373</v>
      </c>
      <c r="P47" s="2" t="s">
        <v>48</v>
      </c>
      <c r="Q47" s="2" t="s">
        <v>74</v>
      </c>
      <c r="R47" s="2" t="s">
        <v>374</v>
      </c>
      <c r="S47" s="2" t="s">
        <v>70</v>
      </c>
      <c r="T47" s="2" t="s">
        <v>71</v>
      </c>
      <c r="U47" s="2" t="s">
        <v>375</v>
      </c>
      <c r="V47" s="2" t="s">
        <v>376</v>
      </c>
      <c r="W47" s="2" t="s">
        <v>48</v>
      </c>
      <c r="X47" s="2" t="s">
        <v>131</v>
      </c>
      <c r="Y47" s="2" t="s">
        <v>351</v>
      </c>
      <c r="Z47" t="s">
        <v>323</v>
      </c>
      <c r="AA47" s="2" t="s">
        <v>58</v>
      </c>
      <c r="AB47" t="s">
        <v>121</v>
      </c>
      <c r="AC47" s="2" t="s">
        <v>134</v>
      </c>
      <c r="AD47" s="2" t="s">
        <v>60</v>
      </c>
      <c r="AE47" t="s">
        <v>80</v>
      </c>
      <c r="AF47" t="s">
        <v>81</v>
      </c>
      <c r="AG47" t="s">
        <v>136</v>
      </c>
      <c r="AH47" t="s">
        <v>108</v>
      </c>
      <c r="AI47" t="s">
        <v>80</v>
      </c>
      <c r="AJ47" t="s">
        <v>110</v>
      </c>
      <c r="AK47" s="2" t="s">
        <v>377</v>
      </c>
      <c r="AL47" s="2" t="s">
        <v>378</v>
      </c>
      <c r="AM47" s="2" t="s">
        <v>379</v>
      </c>
    </row>
    <row r="48" spans="1:39">
      <c r="A48">
        <v>47</v>
      </c>
      <c r="B48" s="1">
        <v>45919.540069444403</v>
      </c>
      <c r="C48" s="1">
        <v>45919.567222222198</v>
      </c>
      <c r="D48" s="2" t="s">
        <v>64</v>
      </c>
      <c r="E48" s="2"/>
      <c r="F48" s="2" t="s">
        <v>40</v>
      </c>
      <c r="G48" s="2" t="s">
        <v>191</v>
      </c>
      <c r="H48" s="2" t="s">
        <v>259</v>
      </c>
      <c r="I48" s="2" t="s">
        <v>67</v>
      </c>
      <c r="J48" t="s">
        <v>68</v>
      </c>
      <c r="K48" t="s">
        <v>91</v>
      </c>
      <c r="L48" s="2" t="s">
        <v>92</v>
      </c>
      <c r="M48" s="2" t="s">
        <v>114</v>
      </c>
      <c r="N48" s="2" t="s">
        <v>115</v>
      </c>
      <c r="O48" s="2" t="s">
        <v>221</v>
      </c>
      <c r="P48" s="2" t="s">
        <v>144</v>
      </c>
      <c r="Q48" s="2" t="s">
        <v>380</v>
      </c>
      <c r="R48" s="2" t="s">
        <v>381</v>
      </c>
      <c r="S48" s="2" t="s">
        <v>92</v>
      </c>
      <c r="T48" s="2" t="s">
        <v>52</v>
      </c>
      <c r="U48" s="2" t="s">
        <v>183</v>
      </c>
      <c r="V48" s="2" t="s">
        <v>367</v>
      </c>
      <c r="W48" s="2" t="s">
        <v>99</v>
      </c>
      <c r="X48" s="2" t="s">
        <v>56</v>
      </c>
      <c r="Y48" s="2" t="s">
        <v>176</v>
      </c>
      <c r="Z48" t="s">
        <v>102</v>
      </c>
      <c r="AA48" s="2" t="s">
        <v>58</v>
      </c>
      <c r="AB48" t="s">
        <v>55</v>
      </c>
      <c r="AC48" s="2" t="s">
        <v>59</v>
      </c>
      <c r="AD48" s="2" t="s">
        <v>60</v>
      </c>
      <c r="AE48" t="s">
        <v>122</v>
      </c>
      <c r="AF48" t="s">
        <v>80</v>
      </c>
      <c r="AG48" t="s">
        <v>136</v>
      </c>
      <c r="AH48" t="s">
        <v>80</v>
      </c>
      <c r="AI48" t="s">
        <v>109</v>
      </c>
      <c r="AJ48" t="s">
        <v>83</v>
      </c>
      <c r="AK48" s="2" t="s">
        <v>382</v>
      </c>
      <c r="AL48" s="2" t="s">
        <v>383</v>
      </c>
      <c r="AM48" s="2" t="s">
        <v>384</v>
      </c>
    </row>
    <row r="49" spans="1:39">
      <c r="A49">
        <v>48</v>
      </c>
      <c r="B49" s="1">
        <v>45919.580717592602</v>
      </c>
      <c r="C49" s="1">
        <v>45919.582743055602</v>
      </c>
      <c r="D49" s="2" t="s">
        <v>64</v>
      </c>
      <c r="E49" s="2"/>
      <c r="F49" s="2" t="s">
        <v>40</v>
      </c>
      <c r="G49" s="2" t="s">
        <v>113</v>
      </c>
      <c r="H49" s="2" t="s">
        <v>66</v>
      </c>
      <c r="I49" s="2" t="s">
        <v>43</v>
      </c>
      <c r="J49" t="s">
        <v>90</v>
      </c>
      <c r="K49" t="s">
        <v>69</v>
      </c>
      <c r="L49" s="2" t="s">
        <v>44</v>
      </c>
      <c r="M49" s="2" t="s">
        <v>45</v>
      </c>
      <c r="N49" s="2" t="s">
        <v>303</v>
      </c>
      <c r="O49" s="2" t="s">
        <v>385</v>
      </c>
      <c r="P49" s="2" t="s">
        <v>48</v>
      </c>
      <c r="Q49" s="2" t="s">
        <v>386</v>
      </c>
      <c r="R49" s="2" t="s">
        <v>387</v>
      </c>
      <c r="S49" s="2" t="s">
        <v>44</v>
      </c>
      <c r="T49" s="2" t="s">
        <v>93</v>
      </c>
      <c r="U49" s="2" t="s">
        <v>183</v>
      </c>
      <c r="V49" s="2" t="s">
        <v>367</v>
      </c>
      <c r="W49" s="2" t="s">
        <v>55</v>
      </c>
      <c r="X49" s="2" t="s">
        <v>56</v>
      </c>
      <c r="Y49" s="2" t="s">
        <v>368</v>
      </c>
      <c r="Z49" t="s">
        <v>388</v>
      </c>
      <c r="AA49" s="2" t="s">
        <v>58</v>
      </c>
      <c r="AB49" t="s">
        <v>121</v>
      </c>
      <c r="AC49" s="2" t="s">
        <v>59</v>
      </c>
      <c r="AD49" s="2" t="s">
        <v>60</v>
      </c>
      <c r="AE49" t="s">
        <v>122</v>
      </c>
      <c r="AF49" t="s">
        <v>228</v>
      </c>
      <c r="AG49" t="s">
        <v>80</v>
      </c>
      <c r="AH49" t="s">
        <v>108</v>
      </c>
      <c r="AI49" t="s">
        <v>82</v>
      </c>
      <c r="AJ49" t="s">
        <v>83</v>
      </c>
      <c r="AK49" s="2"/>
      <c r="AL49" s="2"/>
      <c r="AM49" s="2"/>
    </row>
    <row r="50" spans="1:39">
      <c r="A50">
        <v>49</v>
      </c>
      <c r="B50" s="1">
        <v>45919.582777777803</v>
      </c>
      <c r="C50" s="1">
        <v>45919.585740740702</v>
      </c>
      <c r="D50" s="2" t="s">
        <v>64</v>
      </c>
      <c r="E50" s="2"/>
      <c r="F50" s="2" t="s">
        <v>40</v>
      </c>
      <c r="G50" s="2" t="s">
        <v>200</v>
      </c>
      <c r="H50" s="2" t="s">
        <v>66</v>
      </c>
      <c r="I50" s="2" t="s">
        <v>89</v>
      </c>
      <c r="J50" t="s">
        <v>90</v>
      </c>
      <c r="K50" t="s">
        <v>69</v>
      </c>
      <c r="L50" s="2" t="s">
        <v>92</v>
      </c>
      <c r="M50" s="2" t="s">
        <v>71</v>
      </c>
      <c r="N50" s="2" t="s">
        <v>127</v>
      </c>
      <c r="O50" s="2" t="s">
        <v>389</v>
      </c>
      <c r="P50" s="2" t="s">
        <v>55</v>
      </c>
      <c r="Q50" s="2" t="s">
        <v>263</v>
      </c>
      <c r="R50" s="2" t="s">
        <v>390</v>
      </c>
      <c r="S50" s="2" t="s">
        <v>92</v>
      </c>
      <c r="T50" s="2" t="s">
        <v>114</v>
      </c>
      <c r="U50" s="2" t="s">
        <v>277</v>
      </c>
      <c r="V50" s="2" t="s">
        <v>184</v>
      </c>
      <c r="W50" s="2" t="s">
        <v>48</v>
      </c>
      <c r="X50" s="2" t="s">
        <v>100</v>
      </c>
      <c r="Y50" s="2" t="s">
        <v>170</v>
      </c>
      <c r="Z50" t="s">
        <v>391</v>
      </c>
      <c r="AA50" s="2" t="s">
        <v>58</v>
      </c>
      <c r="AB50" t="s">
        <v>58</v>
      </c>
      <c r="AC50" s="2" t="s">
        <v>134</v>
      </c>
      <c r="AD50" s="2" t="s">
        <v>135</v>
      </c>
      <c r="AE50" t="s">
        <v>106</v>
      </c>
      <c r="AF50" t="s">
        <v>81</v>
      </c>
      <c r="AG50" t="s">
        <v>107</v>
      </c>
      <c r="AH50" t="s">
        <v>80</v>
      </c>
      <c r="AI50" t="s">
        <v>109</v>
      </c>
      <c r="AJ50" t="s">
        <v>197</v>
      </c>
      <c r="AK50" s="2"/>
      <c r="AL50" s="2"/>
      <c r="AM50" s="2"/>
    </row>
    <row r="51" spans="1:39">
      <c r="A51">
        <v>50</v>
      </c>
      <c r="B51" s="1">
        <v>45919.5857986111</v>
      </c>
      <c r="C51" s="1">
        <v>45919.5886342593</v>
      </c>
      <c r="D51" s="2" t="s">
        <v>64</v>
      </c>
      <c r="E51" s="2"/>
      <c r="F51" s="2" t="s">
        <v>40</v>
      </c>
      <c r="G51" s="2" t="s">
        <v>238</v>
      </c>
      <c r="H51" s="2" t="s">
        <v>88</v>
      </c>
      <c r="I51" s="2" t="s">
        <v>89</v>
      </c>
      <c r="J51" t="s">
        <v>68</v>
      </c>
      <c r="K51" t="s">
        <v>91</v>
      </c>
      <c r="L51" s="2" t="s">
        <v>219</v>
      </c>
      <c r="M51" s="2" t="s">
        <v>71</v>
      </c>
      <c r="N51" s="2" t="s">
        <v>239</v>
      </c>
      <c r="O51" s="2" t="s">
        <v>392</v>
      </c>
      <c r="P51" s="2" t="s">
        <v>48</v>
      </c>
      <c r="Q51" s="2" t="s">
        <v>74</v>
      </c>
      <c r="R51" s="2" t="s">
        <v>96</v>
      </c>
      <c r="S51" s="2" t="s">
        <v>219</v>
      </c>
      <c r="T51" s="2" t="s">
        <v>114</v>
      </c>
      <c r="U51" s="2" t="s">
        <v>76</v>
      </c>
      <c r="V51" s="2" t="s">
        <v>367</v>
      </c>
      <c r="W51" s="2" t="s">
        <v>99</v>
      </c>
      <c r="X51" s="2" t="s">
        <v>131</v>
      </c>
      <c r="Y51" s="2" t="s">
        <v>255</v>
      </c>
      <c r="Z51" t="s">
        <v>393</v>
      </c>
      <c r="AA51" s="2" t="s">
        <v>58</v>
      </c>
      <c r="AB51" t="s">
        <v>55</v>
      </c>
      <c r="AC51" s="2" t="s">
        <v>59</v>
      </c>
      <c r="AD51" s="2" t="s">
        <v>135</v>
      </c>
      <c r="AE51" t="s">
        <v>80</v>
      </c>
      <c r="AF51" t="s">
        <v>80</v>
      </c>
      <c r="AG51" t="s">
        <v>80</v>
      </c>
      <c r="AH51" t="s">
        <v>80</v>
      </c>
      <c r="AI51" t="s">
        <v>80</v>
      </c>
      <c r="AJ51" t="s">
        <v>110</v>
      </c>
      <c r="AK51" s="2" t="s">
        <v>394</v>
      </c>
      <c r="AL51" s="2" t="s">
        <v>395</v>
      </c>
      <c r="AM51" s="2" t="s">
        <v>173</v>
      </c>
    </row>
  </sheetData>
  <pageMargins left="0.7" right="0.7" top="0.75" bottom="0.75" header="0.3" footer="0.3"/>
  <pageSetup paperSize="9" orientation="portrait" r:id="rId1"/>
  <headerFooter>
    <oddFooter>&amp;L_x000D_&amp;1#&amp;"Aptos"&amp;9&amp;K008000 Interní</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CFC6E-1EA2-418E-ACCA-0338EBF3D6BD}">
  <dimension ref="A1:B12"/>
  <sheetViews>
    <sheetView tabSelected="1" topLeftCell="A6" workbookViewId="0">
      <selection activeCell="B8" sqref="B8"/>
    </sheetView>
  </sheetViews>
  <sheetFormatPr defaultRowHeight="15"/>
  <cols>
    <col min="1" max="1" width="22" customWidth="1"/>
    <col min="2" max="2" width="104" customWidth="1"/>
    <col min="6" max="6" width="14.5703125" customWidth="1"/>
    <col min="8" max="8" width="11.140625" customWidth="1"/>
  </cols>
  <sheetData>
    <row r="1" spans="1:2">
      <c r="A1" cm="1" vm="1">
        <f t="array" ref="A1">_xlfn._xlws.PY(0,1)</f>
        <v>0</v>
      </c>
    </row>
    <row r="3" spans="1:2">
      <c r="A3" t="e" cm="1" vm="2">
        <f t="array" ref="A3">_xlfn._xlws.PY(1,1,Sheet1!AE2:AE51,Sheet1!L2:L51,Sheet1!M2:M51,Sheet1!N2:N51,Sheet1!O2:O51,Sheet1!P2:P51,Sheet1!Q2:Q51,Sheet1!R2:R51,Sheet1!S2:S51,Sheet1!T2:T51,Sheet1!U2:U51,Sheet1!V2:V51,Sheet1!W2:W51,Sheet1!X2:X51,Sheet1!Y2:Y51,Sheet1!Z2:Z51,Sheet1!AA2:AA51,Sheet1!AB2:AB51,Sheet1!AC2:AC51,Sheet1!AD2:AD51,Sheet1!AF2:AF51,Sheet1!AG2:AG51,Sheet1!AH2:AH51,Sheet1!AI2:AI51,Sheet1!AJ2:AJ51)</f>
        <v>#VALUE!</v>
      </c>
    </row>
    <row r="6" spans="1:2" ht="276.75" customHeight="1">
      <c r="A6" t="e" cm="1" vm="3">
        <f t="array" ref="A6">_xlfn._xlws.PY(2,1)</f>
        <v>#VALUE!</v>
      </c>
      <c r="B6" t="e" cm="1" vm="4">
        <f t="array" ref="B6">_FV(A6,"image",TRUE)</f>
        <v>#VALUE!</v>
      </c>
    </row>
    <row r="7" spans="1:2" hidden="1"/>
    <row r="8" spans="1:2" ht="409.5" customHeight="1">
      <c r="A8" t="e" cm="1" vm="5">
        <f t="array" ref="A8">_xlfn._xlws.PY(3,1)</f>
        <v>#VALUE!</v>
      </c>
      <c r="B8" t="e" cm="1" vm="6">
        <f t="array" ref="B8">_FV(A8,"image",TRUE)</f>
        <v>#VALUE!</v>
      </c>
    </row>
    <row r="10" spans="1:2">
      <c r="A10" t="e" cm="1" vm="7">
        <f t="array" ref="A10">_xlfn._xlws.PY(4,1)</f>
        <v>#VALUE!</v>
      </c>
    </row>
    <row r="12" spans="1:2" ht="14.25" customHeight="1">
      <c r="A12" t="e" cm="1" vm="8">
        <f t="array" ref="A12">_xlfn._xlws.PY(5,1)</f>
        <v>#VALUE!</v>
      </c>
    </row>
  </sheetData>
  <pageMargins left="0.7" right="0.7" top="0.75" bottom="0.75" header="0.3" footer="0.3"/>
</worksheet>
</file>

<file path=docMetadata/LabelInfo.xml><?xml version="1.0" encoding="utf-8"?>
<clbl:labelList xmlns:clbl="http://schemas.microsoft.com/office/2020/mipLabelMetadata">
  <clbl:label id="{30e822eb-17eb-4574-b08c-2c496d08d42f}" enabled="1" method="Standard" siteId="{deb3a78c-2111-476d-8e51-0b43101108e1}"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2024-12-07T14:22:42Z</dcterms:created>
  <dcterms:modified xsi:type="dcterms:W3CDTF">2025-09-22T11:35:15Z</dcterms:modified>
  <cp:category/>
  <cp:contentStatus/>
</cp:coreProperties>
</file>